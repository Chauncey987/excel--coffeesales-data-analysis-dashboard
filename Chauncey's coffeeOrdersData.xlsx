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acea76b43f39af32/Desktop/Data Projects/Coffee Project/"/>
    </mc:Choice>
  </mc:AlternateContent>
  <xr:revisionPtr revIDLastSave="0" documentId="8_{0A13008F-773C-46FA-B703-C516BB9197FC}" xr6:coauthVersionLast="47" xr6:coauthVersionMax="47" xr10:uidLastSave="{00000000-0000-0000-0000-000000000000}"/>
  <bookViews>
    <workbookView xWindow="15810" yWindow="5385" windowWidth="41985" windowHeight="15360" activeTab="3" xr2:uid="{00000000-000D-0000-FFFF-FFFF00000000}"/>
  </bookViews>
  <sheets>
    <sheet name="TotalSales" sheetId="19" r:id="rId1"/>
    <sheet name="Country" sheetId="20" r:id="rId2"/>
    <sheet name="TopCustomers" sheetId="21" r:id="rId3"/>
    <sheet name="Dashboard" sheetId="22" r:id="rId4"/>
    <sheet name="orders" sheetId="17" r:id="rId5"/>
    <sheet name="customers" sheetId="13" r:id="rId6"/>
    <sheet name="products" sheetId="2" r:id="rId7"/>
    <sheet name="The Process" sheetId="18" r:id="rId8"/>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4" i="17"/>
  <c r="I3" i="17"/>
  <c r="N3" i="17" s="1"/>
  <c r="J3" i="17"/>
  <c r="O3" i="17" s="1"/>
  <c r="K3" i="17"/>
  <c r="L3" i="17"/>
  <c r="M3" i="17" s="1"/>
  <c r="I4" i="17"/>
  <c r="N4" i="17" s="1"/>
  <c r="J4" i="17"/>
  <c r="O4" i="17" s="1"/>
  <c r="K4" i="17"/>
  <c r="L4" i="17"/>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<sst xmlns="http://schemas.openxmlformats.org/spreadsheetml/2006/main" count="11140" uniqueCount="6230">
  <si>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</si>
  <si>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</si>
  <si>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</si>
  <si>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</si>
  <si>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</si>
  <si>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</si>
  <si>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</si>
  <si>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</si>
  <si>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</si>
  <si>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</si>
  <si>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</si>
  <si>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</si>
  <si>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</si>
  <si>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</si>
  <si>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</si>
  <si>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</si>
  <si>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</si>
  <si>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</si>
  <si>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</si>
  <si>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</si>
  <si>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</si>
  <si>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</si>
  <si>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</si>
  <si>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</si>
  <si>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</si>
  <si>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</si>
  <si>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</si>
  <si>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</si>
  <si>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</si>
  <si>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</si>
  <si>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</si>
  <si>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</si>
  <si>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</si>
  <si>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</si>
  <si>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</si>
  <si>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</si>
  <si>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</si>
  <si>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</si>
  <si>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</si>
  <si>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</si>
  <si>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</si>
  <si>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</si>
  <si>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</si>
  <si>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</si>
  <si>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</si>
  <si>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</si>
  <si>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</si>
  <si>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</si>
  <si>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</si>
  <si>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</si>
  <si>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</si>
  <si>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</si>
  <si>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</si>
  <si>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</si>
  <si>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</si>
  <si>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</si>
  <si>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</si>
  <si>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</si>
  <si>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</si>
  <si>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</si>
  <si>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</si>
  <si>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</si>
  <si>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</si>
  <si>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</si>
  <si>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</si>
  <si>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</si>
  <si>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</si>
  <si>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</si>
  <si>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</si>
  <si>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</si>
  <si>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</si>
  <si>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</si>
  <si>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</si>
  <si>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</si>
  <si>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</si>
  <si>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</si>
  <si>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</si>
  <si>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</si>
  <si>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</si>
  <si>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</si>
  <si>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</si>
  <si>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</si>
  <si>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</si>
  <si>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</si>
  <si>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</si>
  <si>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</si>
  <si>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</si>
  <si>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</si>
  <si>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</si>
  <si>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</si>
  <si>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</si>
  <si>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</si>
  <si>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</si>
  <si>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</si>
  <si>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</si>
  <si>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</si>
  <si>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</si>
  <si>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</si>
  <si>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</si>
  <si>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</si>
  <si>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</si>
  <si>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</si>
  <si>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</si>
  <si>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</si>
  <si>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</si>
  <si>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</si>
  <si>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</si>
  <si>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</si>
  <si>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</si>
  <si>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</si>
  <si>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</si>
  <si>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</si>
  <si>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</si>
  <si>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</si>
  <si>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</si>
  <si>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</si>
  <si>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</si>
  <si>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</si>
  <si>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</si>
  <si>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</si>
  <si>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</si>
  <si>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</si>
  <si>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</si>
  <si>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</si>
  <si>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</si>
  <si>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</si>
  <si>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</si>
  <si>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</si>
  <si>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</si>
  <si>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</si>
  <si>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</si>
  <si>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</si>
  <si>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</si>
  <si>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</si>
  <si>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</si>
  <si>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</si>
  <si>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</si>
  <si>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</si>
  <si>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</si>
  <si>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</si>
  <si>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</si>
  <si>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</si>
  <si>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</si>
  <si>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</si>
  <si>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</si>
  <si>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</si>
  <si>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</si>
  <si>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</si>
  <si>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</si>
  <si>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</si>
  <si>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</si>
  <si>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</si>
  <si>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</si>
  <si>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</si>
  <si>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</si>
  <si>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</si>
  <si>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</si>
  <si>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</si>
  <si>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</si>
  <si>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</si>
  <si>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</si>
  <si>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</si>
  <si>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</si>
  <si>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</si>
  <si>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</si>
  <si>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</si>
  <si>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</si>
  <si>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</si>
  <si>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</si>
  <si>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</si>
  <si>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</si>
  <si>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</si>
  <si>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</si>
  <si>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</si>
  <si>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</si>
  <si>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</si>
  <si>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</si>
  <si>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</si>
  <si>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</si>
  <si>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</si>
  <si>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</si>
  <si>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</si>
  <si>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</si>
  <si>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</si>
  <si>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</si>
  <si>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</si>
  <si>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</si>
  <si>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</si>
  <si>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</si>
  <si>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</si>
  <si>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</si>
  <si>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</si>
  <si>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</si>
  <si>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</si>
  <si>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</si>
  <si>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</si>
  <si>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</si>
  <si>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</si>
  <si>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</si>
  <si>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</si>
  <si>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</si>
  <si>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</si>
  <si>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</si>
  <si>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</si>
  <si>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</si>
  <si>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</si>
  <si>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</si>
  <si>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</si>
  <si>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</si>
  <si>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</si>
  <si>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</si>
  <si>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</si>
  <si>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</si>
  <si>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</si>
  <si>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</si>
  <si>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</si>
  <si>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</si>
  <si>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</si>
  <si>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</si>
  <si>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</si>
  <si>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</si>
  <si>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</si>
  <si>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</si>
  <si>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</si>
  <si>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</si>
  <si>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</si>
  <si>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</si>
  <si>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</si>
  <si>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</si>
  <si>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</si>
  <si>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</si>
  <si>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</si>
  <si>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</si>
  <si>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</si>
  <si>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</si>
  <si>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</si>
  <si>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</si>
  <si>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</si>
  <si>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</si>
  <si>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</si>
  <si>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</si>
  <si>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</si>
  <si>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</si>
  <si>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</si>
  <si>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</si>
  <si>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</si>
  <si>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</si>
  <si>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</si>
  <si>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</si>
  <si>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</si>
  <si>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</si>
  <si>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</si>
  <si>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</si>
  <si>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</si>
  <si>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</si>
  <si>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</si>
  <si>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</si>
  <si>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</si>
  <si>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</si>
  <si>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</si>
  <si>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</si>
  <si>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</si>
  <si>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</si>
  <si>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</si>
  <si>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</si>
  <si>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</si>
  <si>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</si>
  <si>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</si>
  <si>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</si>
  <si>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</si>
  <si>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</si>
  <si>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</si>
  <si>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</si>
  <si>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</si>
  <si>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</si>
  <si>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</si>
  <si>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</si>
  <si>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</si>
  <si>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</si>
  <si>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</si>
  <si>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</si>
  <si>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</si>
  <si>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</si>
  <si>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</si>
  <si>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</si>
  <si>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</si>
  <si>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</si>
  <si>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</si>
  <si>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</si>
  <si>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</si>
  <si>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</si>
  <si>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</si>
  <si>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</si>
  <si>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</si>
  <si>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</si>
  <si>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</si>
  <si>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</si>
  <si>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</si>
  <si>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</si>
  <si>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</si>
  <si>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</si>
  <si>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</si>
  <si>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</si>
  <si>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</si>
  <si>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</si>
  <si>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</si>
  <si>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</si>
  <si>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</si>
  <si>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</si>
  <si>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</si>
  <si>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</si>
  <si>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</si>
  <si>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</si>
  <si>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</si>
  <si>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</si>
  <si>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</si>
  <si>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</si>
  <si>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</si>
  <si>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</si>
  <si>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</si>
  <si>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</si>
  <si>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</si>
  <si>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</si>
  <si>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</si>
  <si>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</si>
  <si>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</si>
  <si>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</si>
  <si>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</si>
  <si>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</si>
  <si>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</si>
  <si>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</si>
  <si>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</si>
  <si>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</si>
  <si>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</si>
  <si>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</si>
  <si>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</si>
  <si>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</si>
  <si>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</si>
  <si>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</si>
  <si>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</si>
  <si>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</si>
  <si>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</si>
  <si>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</si>
  <si>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</si>
  <si>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</si>
  <si>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</si>
  <si>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</si>
  <si>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</si>
  <si>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</si>
  <si>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</si>
  <si>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</si>
  <si>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</si>
  <si>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</si>
  <si>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</si>
  <si>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</si>
  <si>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</si>
  <si>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</si>
  <si>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</si>
  <si>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</si>
  <si>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</si>
  <si>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</si>
  <si>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</si>
  <si>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</si>
  <si>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</si>
  <si>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</si>
  <si>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</si>
  <si>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</si>
  <si>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</si>
  <si>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</si>
  <si>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</si>
  <si>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</si>
  <si>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</si>
  <si>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</si>
  <si>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</si>
  <si>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</si>
  <si>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</si>
  <si>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</si>
  <si>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</si>
  <si>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</si>
  <si>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</si>
  <si>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</si>
  <si>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</si>
  <si>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</si>
  <si>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</si>
  <si>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</si>
  <si>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</si>
  <si>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</si>
  <si>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</si>
  <si>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</si>
  <si>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</si>
  <si>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</si>
  <si>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</si>
  <si>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</si>
  <si>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</si>
  <si>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</si>
  <si>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</si>
  <si>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</si>
  <si>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</si>
  <si>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</si>
  <si>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</si>
  <si>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</si>
  <si>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</si>
  <si>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</si>
  <si>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</si>
  <si>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</si>
  <si>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</si>
  <si>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</si>
  <si>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</si>
  <si>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</si>
  <si>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</si>
  <si>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</si>
  <si>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</si>
  <si>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</si>
  <si>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</si>
  <si>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</si>
  <si>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</si>
  <si>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</si>
  <si>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</si>
  <si>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</si>
  <si>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</si>
  <si>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</si>
  <si>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</si>
  <si>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</si>
  <si>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</si>
  <si>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</si>
  <si>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</si>
  <si>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</si>
  <si>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</si>
  <si>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</si>
  <si>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</si>
  <si>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</si>
  <si>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</si>
  <si>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</si>
  <si>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</si>
  <si>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</si>
  <si>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</si>
  <si>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</si>
  <si>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</si>
  <si>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</si>
  <si>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</si>
  <si>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</si>
  <si>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</si>
  <si>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</si>
  <si>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</si>
  <si>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</si>
  <si>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</si>
  <si>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</si>
  <si>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</si>
  <si>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</si>
  <si>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</si>
  <si>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</si>
  <si>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</si>
  <si>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</si>
  <si>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</si>
  <si>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</si>
  <si>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</si>
  <si>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</si>
  <si>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</si>
  <si>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</si>
  <si>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</si>
  <si>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</si>
  <si>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</si>
  <si>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</si>
  <si>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</si>
  <si>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</si>
  <si>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</si>
  <si>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</si>
  <si>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</si>
  <si>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</si>
  <si>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</si>
  <si>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</si>
  <si>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</si>
  <si>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</si>
  <si>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</si>
  <si>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</si>
  <si>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</si>
  <si>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</si>
  <si>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</si>
  <si>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</si>
  <si>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</si>
  <si>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</si>
  <si>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</si>
  <si>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</si>
  <si>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</si>
  <si>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</si>
  <si>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</si>
  <si>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</si>
  <si>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</si>
  <si>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</si>
  <si>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</si>
  <si>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</si>
  <si>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</si>
  <si>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</si>
  <si>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</si>
  <si>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</si>
  <si>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</si>
  <si>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</si>
  <si>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</si>
  <si>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</si>
  <si>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</si>
  <si>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</si>
  <si>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</si>
  <si>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</si>
  <si>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</si>
  <si>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</si>
  <si>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</si>
  <si>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</si>
  <si>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</si>
  <si>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</si>
  <si>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</si>
  <si>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</si>
  <si>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</si>
  <si>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</si>
  <si>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</si>
  <si>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</si>
  <si>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</si>
  <si>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</si>
  <si>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</si>
  <si>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</si>
  <si>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</si>
  <si>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</si>
  <si>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</si>
  <si>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</si>
  <si>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</si>
  <si>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</si>
  <si>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</si>
  <si>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</si>
  <si>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</si>
  <si>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</si>
  <si>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</si>
  <si>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</si>
  <si>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</si>
  <si>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</si>
  <si>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</si>
  <si>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</si>
  <si>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</si>
  <si>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</si>
  <si>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</si>
  <si>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</si>
  <si>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</si>
  <si>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</si>
  <si>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</si>
  <si>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</si>
  <si>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</si>
  <si>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</si>
  <si>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</si>
  <si>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</si>
  <si>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</si>
  <si>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</si>
  <si>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</si>
  <si>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</si>
  <si>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</si>
  <si>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</si>
  <si>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</si>
  <si>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</si>
  <si>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</si>
  <si>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</si>
  <si>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</si>
  <si>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</si>
  <si>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</si>
  <si>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</si>
  <si>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</si>
  <si>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</si>
  <si>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</si>
  <si>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</si>
  <si>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</si>
  <si>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</si>
  <si>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</si>
  <si>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</si>
  <si>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</si>
  <si>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</si>
  <si>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</si>
  <si>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</si>
  <si>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</si>
  <si>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</si>
  <si>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</si>
  <si>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</si>
  <si>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</si>
  <si>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</si>
  <si>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</si>
  <si>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</si>
  <si>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</si>
  <si>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</si>
  <si>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</si>
  <si>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</si>
  <si>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</si>
  <si>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</si>
  <si>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</si>
  <si>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</si>
  <si>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</si>
  <si>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</si>
  <si>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</si>
  <si>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</si>
  <si>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</si>
  <si>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</si>
  <si>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</si>
  <si>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</si>
  <si>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</si>
  <si>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</si>
  <si>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</si>
  <si>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</si>
  <si>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</si>
  <si>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</si>
  <si>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</si>
  <si>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</si>
  <si>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</si>
  <si>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</si>
  <si>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</si>
  <si>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</si>
  <si>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</si>
  <si>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</si>
  <si>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</si>
  <si>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</si>
  <si>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</si>
  <si>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</si>
  <si>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</si>
  <si>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</si>
  <si>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</si>
  <si>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</si>
  <si>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</si>
  <si>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</si>
  <si>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</si>
  <si>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</si>
  <si>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</si>
  <si>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</si>
  <si>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</si>
  <si>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</si>
  <si>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</si>
  <si>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</si>
  <si>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</si>
  <si>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</si>
  <si>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</si>
  <si>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</si>
  <si>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</si>
  <si>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</si>
  <si>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</si>
  <si>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</si>
  <si>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</si>
  <si>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</si>
  <si>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</si>
  <si>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</si>
  <si>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</si>
  <si>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</si>
  <si>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</si>
  <si>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</si>
  <si>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</si>
  <si>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</si>
  <si>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</si>
  <si>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</si>
  <si>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</si>
  <si>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</si>
  <si>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</si>
  <si>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</si>
  <si>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</si>
  <si>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</si>
  <si>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</si>
  <si>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</si>
  <si>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</si>
  <si>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</si>
  <si>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</si>
  <si>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</si>
  <si>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</si>
  <si>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</si>
  <si>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</si>
  <si>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</si>
  <si>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</si>
  <si>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</si>
  <si>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</si>
  <si>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</si>
  <si>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</si>
  <si>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</si>
  <si>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</si>
  <si>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</si>
  <si>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</si>
  <si>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</si>
  <si>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</si>
  <si>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</si>
  <si>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</si>
  <si>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</si>
  <si>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</si>
  <si>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</si>
  <si>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</si>
  <si>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</si>
  <si>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</si>
  <si>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</si>
  <si>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</si>
  <si>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</si>
  <si>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</si>
  <si>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</si>
  <si>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</si>
  <si>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</si>
  <si>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</si>
  <si>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</si>
  <si>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</si>
  <si>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</si>
  <si>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</si>
  <si>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</si>
  <si>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</si>
  <si>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</si>
  <si>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</si>
  <si>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</si>
  <si>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</si>
  <si>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</si>
  <si>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</si>
  <si>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</si>
  <si>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</si>
  <si>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</si>
  <si>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</si>
  <si>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</si>
  <si>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</si>
  <si>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</si>
  <si>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</si>
  <si>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</si>
  <si>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</si>
  <si>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</si>
  <si>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</si>
  <si>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</si>
  <si>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</si>
  <si>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</si>
  <si>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</si>
  <si>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</si>
  <si>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</si>
  <si>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</si>
  <si>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</si>
  <si>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</si>
  <si>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</si>
  <si>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</si>
  <si>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</si>
  <si>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</si>
  <si>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</si>
  <si>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</si>
  <si>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</si>
  <si>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</si>
  <si>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</si>
  <si>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</si>
  <si>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</si>
  <si>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</si>
  <si>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</si>
  <si>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</si>
  <si>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</si>
  <si>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</si>
  <si>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</si>
  <si>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</si>
  <si>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</si>
  <si>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</si>
  <si>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</si>
  <si>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</si>
  <si>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</si>
  <si>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</si>
  <si>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</si>
  <si>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</si>
  <si>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</si>
  <si>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</si>
  <si>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</si>
  <si>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</si>
  <si>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</si>
  <si>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</si>
  <si>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</si>
  <si>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</si>
  <si>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</si>
  <si>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</si>
  <si>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</si>
  <si>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</si>
  <si>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</si>
  <si>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</si>
  <si>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</si>
  <si>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</si>
  <si>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</si>
  <si>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</si>
  <si>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</si>
  <si>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</si>
  <si>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</si>
  <si>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</si>
  <si>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</si>
  <si>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</si>
  <si>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</si>
  <si>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</si>
  <si>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</si>
  <si>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</si>
  <si>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</si>
  <si>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</si>
  <si>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</si>
  <si>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</si>
  <si>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</si>
  <si>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</si>
  <si>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</si>
  <si>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</si>
  <si>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</si>
  <si>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</si>
  <si>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</si>
  <si>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</si>
  <si>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</si>
  <si>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</si>
  <si>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</si>
  <si>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</si>
  <si>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</si>
  <si>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</si>
  <si>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</si>
  <si>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</si>
  <si>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</si>
  <si>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</si>
  <si>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</si>
  <si>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</si>
  <si>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</si>
  <si>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</si>
  <si>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</si>
  <si>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</si>
  <si>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</si>
  <si>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</si>
  <si>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</si>
  <si>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</si>
  <si>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</si>
  <si>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</si>
  <si>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</si>
  <si>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</si>
  <si>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</si>
  <si>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</si>
  <si>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</si>
  <si>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</si>
  <si>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</si>
  <si>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</si>
  <si>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</si>
  <si>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</si>
  <si>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</si>
  <si>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</si>
  <si>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</si>
  <si>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</si>
  <si>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</si>
  <si>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</si>
  <si>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</si>
  <si>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</si>
  <si>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</si>
  <si>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</si>
  <si>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</si>
  <si>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</si>
  <si>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</si>
  <si>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</si>
  <si>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</si>
  <si>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</si>
  <si>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</si>
  <si>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</si>
  <si>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</si>
  <si>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</si>
  <si>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</si>
  <si>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</si>
  <si>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</si>
  <si>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</si>
  <si>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</si>
  <si>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</si>
  <si>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</si>
  <si>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</si>
  <si>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</si>
  <si>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</si>
  <si>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</si>
  <si>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</si>
  <si>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</si>
  <si>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</si>
  <si>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</si>
  <si>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</si>
  <si>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</si>
  <si>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</si>
  <si>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</si>
  <si>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</si>
  <si>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</si>
  <si>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</si>
  <si>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</si>
  <si>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</si>
  <si>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</si>
  <si>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</si>
  <si>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</si>
  <si>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</si>
  <si>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</si>
  <si>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</si>
  <si>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</si>
  <si>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</si>
  <si>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</si>
  <si>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</si>
  <si>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</si>
  <si>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</si>
  <si>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</si>
  <si>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</si>
  <si>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</si>
  <si>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</si>
  <si>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</si>
  <si>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</si>
  <si>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</si>
  <si>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</si>
  <si>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</si>
  <si>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</si>
  <si>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</si>
  <si>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</si>
  <si>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</si>
  <si>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</si>
  <si>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</si>
  <si>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</si>
  <si>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</si>
  <si>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</si>
  <si>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</si>
  <si>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</si>
  <si>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</si>
  <si>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</si>
  <si>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</si>
  <si>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</si>
  <si>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</si>
  <si>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</si>
  <si>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</si>
  <si>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</si>
  <si>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</si>
  <si>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</si>
  <si>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</si>
  <si>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</si>
  <si>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</si>
  <si>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</si>
  <si>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</si>
  <si>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</si>
  <si>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</si>
  <si>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</si>
  <si>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</si>
  <si>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</si>
  <si>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</si>
  <si>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</si>
  <si>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</si>
  <si>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</si>
  <si>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</si>
  <si>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</si>
  <si>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</si>
  <si>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</si>
  <si>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</si>
  <si>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</si>
  <si>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</si>
  <si>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</si>
  <si>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</si>
  <si>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</si>
  <si>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</si>
  <si>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</si>
  <si>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</si>
  <si>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</si>
  <si>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</si>
  <si>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</si>
  <si>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</si>
  <si>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</si>
  <si>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</si>
  <si>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</si>
  <si>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</si>
  <si>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</si>
  <si>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</si>
  <si>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</si>
  <si>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</si>
  <si>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</si>
  <si>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</si>
  <si>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</si>
  <si>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</si>
  <si>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</si>
  <si>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</si>
  <si>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</si>
  <si>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</si>
  <si>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</si>
  <si>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</si>
  <si>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</si>
  <si>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</si>
  <si>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</si>
  <si>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</si>
  <si>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</si>
  <si>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</si>
  <si>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</si>
  <si>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</si>
  <si>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</si>
  <si>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</si>
  <si>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</si>
  <si>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</si>
  <si>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</si>
  <si>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</si>
  <si>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</si>
  <si>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</si>
  <si>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</si>
  <si>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</si>
  <si>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</si>
  <si>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</si>
  <si>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</si>
  <si>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</si>
  <si>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</si>
  <si>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</si>
  <si>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</si>
  <si>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</si>
  <si>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</si>
  <si>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</si>
  <si>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</si>
  <si>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</si>
  <si>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</si>
  <si>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</si>
  <si>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</si>
  <si>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</si>
  <si>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</si>
  <si>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</si>
  <si>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</si>
  <si>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</si>
  <si>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</si>
  <si>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</si>
  <si>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</si>
  <si>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</si>
  <si>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</si>
  <si>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</si>
  <si>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</si>
  <si>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</si>
  <si>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</si>
  <si>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</si>
  <si>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</si>
  <si>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</si>
  <si>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</si>
  <si>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</si>
  <si>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</si>
  <si>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</si>
  <si>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</si>
  <si>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</si>
  <si>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</si>
  <si>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</si>
  <si>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</si>
  <si>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</si>
  <si>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</si>
  <si>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</si>
  <si>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</si>
  <si>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</si>
  <si>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</si>
  <si>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</si>
  <si>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</si>
  <si>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</si>
  <si>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</si>
  <si>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</si>
  <si>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</si>
  <si>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</si>
  <si>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</si>
  <si>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</si>
  <si>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</si>
  <si>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</si>
  <si>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</si>
  <si>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</si>
  <si>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</si>
  <si>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</si>
  <si>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</si>
  <si>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</si>
  <si>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</si>
  <si>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</si>
  <si>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</si>
  <si>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</si>
  <si>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</si>
  <si>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</si>
  <si>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</si>
  <si>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</si>
  <si>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</si>
  <si>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</si>
  <si>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</si>
  <si>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</si>
  <si>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</si>
  <si>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</si>
  <si>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</si>
  <si>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</si>
  <si>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</si>
  <si>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</si>
  <si>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</si>
  <si>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</si>
  <si>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</si>
  <si>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</si>
  <si>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</si>
  <si>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</si>
  <si>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</si>
  <si>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</si>
  <si>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</si>
  <si>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</si>
  <si>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</si>
  <si>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</si>
  <si>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</si>
  <si>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</si>
  <si>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</si>
  <si>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</si>
  <si>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</si>
  <si>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</si>
  <si>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</si>
  <si>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</si>
  <si>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</si>
  <si>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</si>
  <si>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</si>
  <si>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</si>
  <si>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</si>
  <si>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</si>
  <si>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</si>
  <si>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</si>
  <si>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</si>
  <si>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</si>
  <si>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</si>
  <si>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</si>
  <si>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</si>
  <si>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</si>
  <si>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</si>
  <si>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</si>
  <si>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</si>
  <si>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</si>
  <si>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</si>
  <si>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</si>
  <si>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</si>
  <si>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</si>
  <si>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</si>
  <si>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</si>
  <si>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</si>
  <si>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</si>
  <si>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</si>
  <si>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</si>
  <si>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</si>
  <si>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</si>
  <si>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</si>
  <si>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</si>
  <si>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</si>
  <si>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</si>
  <si>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</si>
  <si>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</si>
  <si>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</si>
  <si>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</si>
  <si>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</si>
  <si>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</si>
  <si>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</si>
  <si>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</si>
  <si>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</si>
  <si>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</si>
  <si>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</si>
  <si>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</si>
  <si>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</si>
  <si>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</si>
  <si>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</si>
  <si>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</si>
  <si>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</si>
  <si>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</si>
  <si>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</si>
  <si>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</si>
  <si>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</si>
  <si>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</si>
  <si>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</si>
  <si>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</si>
  <si>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</si>
  <si>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</si>
  <si>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</si>
  <si>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</si>
  <si>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</si>
  <si>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</si>
  <si>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</si>
  <si>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</si>
  <si>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</si>
  <si>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</si>
  <si>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</si>
  <si>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</si>
  <si>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</si>
  <si>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</si>
  <si>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</si>
  <si>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</si>
  <si>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</si>
  <si>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</si>
  <si>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</si>
  <si>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</si>
  <si>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</si>
  <si>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</si>
  <si>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</si>
  <si>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</si>
  <si>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</si>
  <si>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</si>
  <si>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</si>
  <si>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</si>
  <si>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</si>
  <si>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</si>
  <si>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</si>
  <si>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</si>
  <si>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</si>
  <si>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</si>
  <si>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</si>
  <si>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</si>
  <si>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</si>
  <si>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</si>
  <si>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</si>
  <si>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</si>
  <si>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</si>
  <si>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</si>
  <si>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</si>
  <si>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</si>
  <si>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</si>
  <si>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</si>
  <si>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</si>
  <si>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</si>
  <si>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</si>
  <si>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</si>
  <si>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</si>
  <si>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</si>
  <si>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</si>
  <si>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</si>
  <si>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</si>
  <si>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</si>
  <si>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</si>
  <si>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</si>
  <si>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</si>
  <si>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</si>
  <si>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</si>
  <si>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</si>
  <si>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</si>
  <si>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</si>
  <si>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</si>
  <si>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</si>
  <si>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</si>
  <si>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</si>
  <si>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</si>
  <si>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</si>
  <si>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</si>
  <si>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</si>
  <si>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</si>
  <si>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</si>
  <si>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</si>
  <si>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</si>
  <si>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</si>
  <si>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</si>
  <si>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</si>
  <si>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</si>
  <si>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</si>
  <si>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</si>
  <si>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</si>
  <si>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</si>
  <si>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</si>
  <si>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</si>
  <si>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</si>
  <si>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</si>
  <si>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</si>
  <si>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</si>
  <si>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</si>
  <si>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</si>
  <si>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</si>
  <si>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</si>
  <si>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</si>
  <si>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</si>
  <si>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</si>
  <si>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</si>
  <si>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</si>
  <si>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</si>
  <si>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</si>
  <si>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</si>
  <si>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</si>
  <si>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</si>
  <si>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</si>
  <si>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</si>
  <si>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</si>
  <si>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</si>
  <si>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</si>
  <si>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</si>
  <si>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</si>
  <si>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</si>
  <si>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</si>
  <si>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</si>
  <si>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</si>
  <si>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</si>
  <si>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</si>
  <si>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</si>
  <si>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</si>
  <si>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</si>
  <si>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</si>
  <si>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</si>
  <si>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</si>
  <si>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</si>
  <si>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</si>
  <si>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</si>
  <si>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</si>
  <si>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</si>
  <si>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</si>
  <si>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</si>
  <si>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</si>
  <si>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</si>
  <si>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</si>
  <si>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</si>
  <si>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</si>
  <si>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</si>
  <si>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</si>
  <si>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</si>
  <si>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</si>
  <si>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</si>
  <si>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</si>
  <si>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</si>
  <si>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</si>
  <si>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</si>
  <si>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</si>
  <si>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</si>
  <si>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</si>
  <si>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</si>
  <si>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</si>
  <si>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</si>
  <si>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</si>
  <si>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</si>
  <si>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</si>
  <si>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</si>
  <si>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</si>
  <si>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</si>
  <si>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</si>
  <si>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</si>
  <si>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</si>
  <si>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</si>
  <si>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</si>
  <si>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</si>
  <si>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</si>
  <si>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</si>
  <si>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</si>
  <si>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</si>
  <si>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</si>
  <si>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</si>
  <si>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</si>
  <si>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</si>
  <si>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</si>
  <si>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</si>
  <si>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</si>
  <si>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</si>
  <si>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</si>
  <si>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</si>
  <si>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</si>
  <si>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</si>
  <si>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</si>
  <si>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</si>
  <si>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</si>
  <si>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</si>
  <si>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</si>
  <si>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</si>
  <si>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</si>
  <si>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</si>
  <si>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</si>
  <si>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</si>
  <si>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</si>
  <si>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</si>
  <si>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</si>
  <si>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</si>
  <si>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</si>
  <si>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</si>
  <si>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</si>
  <si>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</si>
  <si>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</si>
  <si>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</si>
  <si>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</si>
  <si>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</si>
  <si>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</si>
  <si>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</si>
  <si>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</si>
  <si>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</si>
  <si>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</si>
  <si>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</si>
  <si>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</si>
  <si>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</si>
  <si>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</si>
  <si>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</si>
  <si>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</si>
  <si>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</si>
  <si>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</si>
  <si>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</si>
  <si>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</si>
  <si>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</si>
  <si>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</si>
  <si>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</si>
  <si>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</si>
  <si>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</si>
  <si>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</si>
  <si>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</si>
  <si>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</si>
  <si>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</si>
  <si>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</si>
  <si>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</si>
  <si>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</si>
  <si>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</si>
  <si>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</si>
  <si>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</si>
  <si>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</si>
  <si>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</si>
  <si>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</si>
  <si>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</si>
  <si>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</si>
  <si>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</si>
  <si>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</si>
  <si>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</si>
  <si>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</si>
  <si>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</si>
  <si>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</si>
  <si>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</si>
  <si>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</si>
  <si>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</si>
  <si>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</si>
  <si>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</si>
  <si>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</si>
  <si>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</si>
  <si>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</si>
  <si>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</si>
  <si>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</si>
  <si>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</si>
  <si>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</si>
  <si>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</si>
  <si>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</si>
  <si>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</si>
  <si>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</si>
  <si>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</si>
  <si>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</si>
  <si>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</si>
  <si>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</si>
  <si>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</si>
  <si>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</si>
  <si>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</si>
  <si>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</si>
  <si>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</si>
  <si>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</si>
  <si>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</si>
  <si>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</si>
  <si>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</si>
  <si>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</si>
  <si>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</si>
  <si>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</si>
  <si>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</si>
  <si>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</si>
  <si>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</si>
  <si>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</si>
  <si>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</si>
  <si>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</si>
  <si>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</si>
  <si>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</si>
  <si>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</si>
  <si>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</si>
  <si>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</si>
  <si>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</si>
  <si>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</si>
  <si>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</si>
  <si>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</si>
  <si>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</si>
  <si>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</si>
  <si>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</si>
  <si>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</si>
  <si>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</si>
  <si>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</si>
  <si>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</si>
  <si>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</si>
  <si>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</si>
  <si>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</si>
  <si>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</si>
  <si>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</si>
  <si>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</si>
  <si>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</si>
  <si>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</si>
  <si>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</si>
  <si>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</si>
  <si>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</si>
  <si>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</si>
  <si>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</si>
  <si>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</si>
  <si>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</si>
  <si>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</si>
  <si>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</si>
  <si>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</si>
  <si>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</si>
  <si>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</si>
  <si>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</si>
  <si>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</si>
  <si>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</si>
  <si>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</si>
  <si>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</si>
  <si>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</si>
  <si>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</si>
  <si>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</si>
  <si>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</si>
  <si>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</si>
  <si>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</si>
  <si>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</si>
  <si>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</si>
  <si>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</si>
  <si>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</si>
  <si>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</si>
  <si>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</si>
  <si>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</si>
  <si>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</si>
  <si>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</si>
  <si>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</si>
  <si>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</si>
  <si>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</si>
  <si>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</si>
  <si>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</si>
  <si>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</si>
  <si>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</si>
  <si>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</si>
  <si>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</si>
  <si>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</si>
  <si>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</si>
  <si>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</si>
  <si>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</si>
  <si>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</si>
  <si>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</si>
  <si>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</si>
  <si>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</si>
  <si>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</si>
  <si>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</si>
  <si>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</si>
  <si>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</si>
  <si>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</si>
  <si>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</si>
  <si>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</si>
  <si>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</si>
  <si>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</si>
  <si>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</si>
  <si>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</si>
  <si>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</si>
  <si>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</si>
  <si>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</si>
  <si>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</si>
  <si>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</si>
  <si>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</si>
  <si>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</si>
  <si>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</si>
  <si>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</si>
  <si>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</si>
  <si>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</si>
  <si>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</si>
  <si>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</si>
  <si>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</si>
  <si>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</si>
  <si>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</si>
  <si>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</si>
  <si>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</si>
  <si>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</si>
  <si>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</si>
  <si>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</si>
  <si>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</si>
  <si>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</si>
  <si>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</si>
  <si>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</si>
  <si>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</si>
  <si>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</si>
  <si>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</si>
  <si>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</si>
  <si>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</si>
  <si>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</si>
  <si>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</si>
  <si>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</si>
  <si>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</si>
  <si>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</si>
  <si>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</si>
  <si>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</si>
  <si>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</si>
  <si>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</si>
  <si>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</si>
  <si>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</si>
  <si>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</si>
  <si>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</si>
  <si>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</si>
  <si>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</si>
  <si>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</si>
  <si>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</si>
  <si>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</si>
  <si>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</si>
  <si>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</si>
  <si>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</si>
  <si>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</si>
  <si>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</si>
  <si>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</si>
  <si>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</si>
  <si>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</si>
  <si>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</si>
  <si>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</si>
  <si>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</si>
  <si>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</si>
  <si>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</si>
  <si>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</si>
  <si>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</si>
  <si>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</si>
  <si>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</si>
  <si>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</si>
  <si>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</si>
  <si>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</si>
  <si>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</si>
  <si>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</si>
  <si>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</si>
  <si>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</si>
  <si>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</si>
  <si>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</si>
  <si>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</si>
  <si>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</si>
  <si>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</si>
  <si>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</si>
  <si>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</si>
  <si>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</si>
  <si>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</si>
  <si>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</si>
  <si>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</si>
  <si>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</si>
  <si>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</si>
  <si>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</si>
  <si>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</si>
  <si>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</si>
  <si>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</si>
  <si>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</si>
  <si>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</si>
  <si>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</si>
  <si>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</si>
  <si>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</si>
  <si>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</si>
  <si>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</si>
  <si>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</si>
  <si>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</si>
  <si>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</si>
  <si>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</si>
  <si>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</si>
  <si>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</si>
  <si>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</si>
  <si>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</si>
  <si>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</si>
  <si>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</si>
  <si>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</si>
  <si>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</si>
  <si>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</si>
  <si>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</si>
  <si>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</si>
  <si>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</si>
  <si>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</si>
  <si>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</si>
  <si>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</si>
  <si>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</si>
  <si>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</si>
  <si>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</si>
  <si>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</si>
  <si>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</si>
  <si>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</si>
  <si>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</si>
  <si>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</si>
  <si>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</si>
  <si>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</si>
  <si>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</si>
  <si>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</si>
  <si>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</si>
  <si>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</si>
  <si>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</si>
  <si>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</si>
  <si>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</si>
  <si>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</si>
  <si>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</si>
  <si>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</si>
  <si>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</si>
  <si>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</si>
  <si>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</si>
  <si>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</si>
  <si>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</si>
  <si>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</si>
  <si>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</si>
  <si>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</si>
  <si>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</si>
  <si>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</si>
  <si>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</si>
  <si>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</si>
  <si>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</si>
  <si>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</si>
  <si>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</si>
  <si>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</si>
  <si>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</si>
  <si>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</si>
  <si>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</si>
  <si>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</si>
  <si>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</si>
  <si>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</si>
  <si>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</si>
  <si>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</si>
  <si>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</si>
  <si>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</si>
  <si>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</si>
  <si>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</si>
  <si>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</si>
  <si>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</si>
  <si>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</si>
  <si>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</si>
  <si>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</si>
  <si>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</si>
  <si>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</si>
  <si>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</si>
  <si>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</si>
  <si>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</si>
  <si>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</si>
  <si>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</si>
  <si>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</si>
  <si>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</si>
  <si>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</si>
  <si>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</si>
  <si>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</si>
  <si>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</si>
  <si>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</si>
  <si>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</si>
  <si>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</si>
  <si>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</si>
  <si>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</si>
  <si>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</si>
  <si>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</si>
  <si>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</si>
  <si>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</si>
  <si>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</si>
  <si>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</si>
  <si>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</si>
  <si>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</si>
  <si>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</si>
  <si>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</si>
  <si>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</si>
  <si>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</si>
  <si>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</si>
  <si>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</si>
  <si>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</si>
  <si>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</si>
  <si>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</si>
  <si>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</si>
  <si>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</si>
  <si>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</si>
  <si>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</si>
  <si>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</si>
  <si>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</si>
  <si>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</si>
  <si>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</si>
  <si>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</si>
  <si>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</si>
  <si>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</si>
  <si>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</si>
  <si>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</si>
  <si>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</si>
  <si>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</si>
  <si>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</si>
  <si>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</si>
  <si>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</si>
  <si>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</si>
  <si>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</si>
  <si>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</si>
  <si>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</si>
  <si>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</si>
  <si>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</si>
  <si>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</si>
  <si>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</si>
  <si>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</si>
  <si>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</si>
  <si>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</si>
  <si>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</si>
  <si>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</si>
  <si>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</si>
  <si>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</si>
  <si>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</si>
  <si>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</si>
  <si>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</si>
  <si>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</si>
  <si>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</si>
  <si>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</si>
  <si>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</si>
  <si>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</si>
  <si>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</si>
  <si>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</si>
  <si>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</si>
  <si>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</si>
  <si>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</si>
  <si>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</si>
  <si>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</si>
  <si>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</si>
  <si>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</si>
  <si>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</si>
  <si>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</si>
  <si>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</si>
  <si>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</si>
  <si>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</si>
  <si>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</si>
  <si>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</si>
  <si>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</si>
  <si>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</si>
  <si>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</si>
  <si>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</si>
  <si>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</si>
  <si>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</si>
  <si>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</si>
  <si>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</si>
  <si>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</si>
  <si>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</si>
  <si>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</si>
  <si>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</si>
  <si>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</si>
  <si>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</si>
  <si>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</si>
  <si>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</si>
  <si>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</si>
  <si>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</si>
  <si>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</si>
  <si>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</si>
  <si>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</si>
  <si>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</si>
  <si>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</si>
  <si>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</si>
  <si>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</si>
  <si>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</si>
  <si>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</si>
  <si>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</si>
  <si>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</si>
  <si>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</si>
  <si>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</si>
  <si>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</si>
  <si>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</si>
  <si>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</si>
  <si>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</si>
  <si>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</si>
  <si>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</si>
  <si>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</si>
  <si>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</si>
  <si>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</si>
  <si>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</si>
  <si>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</si>
  <si>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</si>
  <si>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</si>
  <si>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</si>
  <si>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</si>
  <si>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</si>
  <si>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</si>
  <si>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</si>
  <si>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</si>
  <si>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</si>
  <si>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</si>
  <si>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</si>
  <si>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</si>
  <si>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</si>
  <si>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</si>
  <si>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</si>
  <si>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</si>
  <si>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</si>
  <si>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</si>
  <si>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</si>
  <si>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</si>
  <si>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</si>
  <si>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</si>
  <si>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</si>
  <si>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</si>
  <si>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</si>
  <si>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</si>
  <si>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</si>
  <si>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</si>
  <si>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</si>
  <si>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</si>
  <si>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</si>
  <si>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</si>
  <si>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</si>
  <si>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</si>
  <si>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</si>
  <si>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</si>
  <si>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</si>
  <si>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</si>
  <si>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</si>
  <si>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</si>
  <si>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</si>
  <si>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</si>
  <si>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</si>
  <si>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</si>
  <si>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</si>
  <si>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</si>
  <si>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</si>
  <si>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</si>
  <si>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</si>
  <si>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</si>
  <si>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</si>
  <si>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</si>
  <si>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</si>
  <si>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</si>
  <si>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</si>
  <si>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</si>
  <si>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</si>
  <si>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</si>
  <si>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</si>
  <si>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</si>
  <si>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</si>
  <si>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</si>
  <si>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</si>
  <si>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</si>
  <si>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</si>
  <si>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</si>
  <si>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</si>
  <si>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</si>
  <si>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</si>
  <si>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</si>
  <si>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</si>
  <si>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</si>
  <si>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</si>
  <si>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</si>
  <si>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</si>
  <si>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</si>
  <si>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</si>
  <si>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</si>
  <si>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</si>
  <si>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</si>
  <si>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</si>
  <si>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</si>
  <si>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</si>
  <si>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</si>
  <si>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</si>
  <si>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</si>
  <si>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</si>
  <si>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</si>
  <si>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</si>
  <si>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</si>
  <si>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</si>
  <si>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</si>
  <si>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</si>
  <si>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</si>
  <si>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</si>
  <si>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</si>
  <si>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</si>
  <si>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</si>
  <si>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</si>
  <si>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</si>
  <si>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</si>
  <si>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</si>
  <si>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</si>
  <si>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</si>
  <si>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</si>
  <si>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</si>
  <si>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</si>
  <si>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</si>
  <si>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</si>
  <si>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</si>
  <si>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</si>
  <si>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</si>
  <si>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</si>
  <si>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</si>
  <si>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</si>
  <si>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</si>
  <si>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</si>
  <si>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</si>
  <si>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</si>
  <si>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</si>
  <si>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</si>
  <si>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</si>
  <si>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</si>
  <si>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</si>
  <si>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</si>
  <si>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</si>
  <si>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</si>
  <si>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</si>
  <si>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</si>
  <si>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</si>
  <si>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</si>
  <si>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</si>
  <si>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</si>
  <si>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</si>
  <si>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</si>
  <si>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</si>
  <si>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</si>
  <si>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</si>
  <si>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</si>
  <si>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</si>
  <si>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</si>
  <si>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</si>
  <si>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</si>
  <si>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</si>
  <si>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</si>
  <si>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</si>
  <si>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</si>
  <si>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</si>
  <si>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</si>
  <si>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</si>
  <si>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</si>
  <si>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</si>
  <si>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</si>
  <si>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</si>
  <si>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</si>
  <si>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</si>
  <si>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</si>
  <si>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</si>
  <si>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</si>
  <si>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</si>
  <si>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</si>
  <si>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</si>
  <si>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</si>
  <si>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</si>
  <si>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</si>
  <si>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</si>
  <si>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</si>
  <si>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</si>
  <si>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</si>
  <si>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</si>
  <si>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</si>
  <si>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</si>
  <si>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</si>
  <si>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</si>
  <si>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</si>
  <si>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</si>
  <si>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</si>
  <si>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</si>
  <si>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</si>
  <si>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</si>
  <si>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</si>
  <si>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</si>
  <si>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</si>
  <si>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</si>
  <si>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</si>
  <si>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</si>
  <si>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</si>
  <si>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</si>
  <si>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</si>
  <si>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</si>
  <si>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</si>
  <si>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</si>
  <si>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</si>
  <si>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</si>
  <si>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</si>
  <si>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</si>
  <si>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</si>
  <si>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</si>
  <si>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</si>
  <si>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</si>
  <si>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</si>
  <si>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</si>
  <si>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</si>
  <si>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</si>
  <si>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</si>
  <si>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</si>
  <si>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</si>
  <si>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</si>
  <si>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</si>
  <si>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</si>
  <si>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</si>
  <si>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</si>
  <si>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</si>
  <si>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</si>
  <si>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</si>
  <si>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</si>
  <si>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</si>
  <si>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</si>
  <si>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</si>
  <si>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</si>
  <si>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</si>
  <si>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</si>
  <si>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</si>
  <si>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</si>
  <si>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</si>
  <si>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</si>
  <si>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</si>
  <si>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</si>
  <si>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</si>
  <si>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</si>
  <si>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</si>
  <si>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</si>
  <si>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</si>
  <si>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</si>
  <si>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</si>
  <si>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</si>
  <si>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</si>
  <si>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</si>
  <si>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</si>
  <si>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</si>
  <si>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</si>
  <si>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</si>
  <si>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</si>
  <si>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</si>
  <si>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</si>
  <si>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</si>
  <si>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</si>
  <si>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</si>
  <si>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</si>
  <si>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</si>
  <si>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</si>
  <si>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</si>
  <si>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</si>
  <si>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</si>
  <si>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</si>
  <si>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</si>
  <si>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</si>
  <si>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</si>
  <si>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</si>
  <si>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</si>
  <si>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</si>
  <si>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</si>
  <si>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</si>
  <si>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</si>
  <si>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</si>
  <si>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</si>
  <si>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</si>
  <si>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</si>
  <si>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</si>
  <si>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</si>
  <si>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</si>
  <si>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</si>
  <si>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</si>
  <si>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</si>
  <si>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</si>
  <si>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</si>
  <si>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</si>
  <si>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</si>
  <si>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</si>
  <si>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</si>
  <si>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</si>
  <si>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</si>
  <si>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</si>
  <si>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</si>
  <si>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</si>
  <si>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</si>
  <si>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</si>
  <si>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</si>
  <si>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</si>
  <si>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</si>
  <si>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</si>
  <si>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</si>
  <si>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</si>
  <si>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</si>
  <si>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</si>
  <si>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</si>
  <si>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</si>
  <si>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</si>
  <si>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</si>
  <si>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</si>
  <si>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</si>
  <si>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</si>
  <si>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</si>
  <si>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</si>
  <si>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</si>
  <si>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</si>
  <si>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</si>
  <si>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</si>
  <si>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</si>
  <si>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</si>
  <si>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</si>
  <si>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</si>
  <si>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</si>
  <si>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</si>
  <si>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</si>
  <si>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</si>
  <si>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</si>
  <si>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</si>
  <si>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</si>
  <si>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</si>
  <si>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</si>
  <si>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</si>
  <si>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</si>
  <si>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</si>
  <si>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</si>
  <si>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</si>
  <si>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</si>
  <si>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</si>
  <si>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</si>
  <si>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</si>
  <si>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</si>
  <si>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</si>
  <si>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</si>
  <si>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</si>
  <si>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</si>
  <si>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</si>
  <si>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</si>
  <si>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</si>
  <si>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</si>
  <si>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</si>
  <si>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</si>
  <si>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</si>
  <si>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</si>
  <si>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</si>
  <si>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</si>
  <si>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</si>
  <si>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</si>
  <si>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</si>
  <si>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</si>
  <si>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</si>
  <si>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</si>
  <si>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</si>
  <si>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</si>
  <si>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</si>
  <si>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</si>
  <si>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</si>
  <si>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</si>
  <si>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</si>
  <si>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</si>
  <si>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</si>
  <si>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</si>
  <si>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</si>
  <si>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</si>
  <si>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</si>
  <si>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</si>
  <si>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</si>
  <si>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</si>
  <si>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</si>
  <si>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</si>
  <si>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</si>
  <si>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</si>
  <si>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</si>
  <si>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</si>
  <si>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</si>
  <si>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</si>
  <si>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</si>
  <si>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</si>
  <si>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</si>
  <si>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</si>
  <si>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</si>
  <si>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</si>
  <si>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</si>
  <si>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</si>
  <si>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</si>
  <si>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</si>
  <si>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</si>
  <si>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</si>
  <si>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</si>
  <si>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</si>
  <si>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</si>
  <si>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</si>
  <si>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</si>
  <si>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</si>
  <si>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</si>
  <si>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</si>
  <si>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</si>
  <si>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</si>
  <si>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</si>
  <si>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</si>
  <si>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</si>
  <si>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</si>
  <si>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</si>
  <si>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</si>
  <si>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</si>
  <si>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</si>
  <si>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</si>
  <si>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</si>
  <si>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</si>
  <si>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</si>
  <si>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</si>
  <si>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</si>
  <si>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</si>
  <si>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</si>
  <si>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</si>
  <si>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</si>
  <si>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</si>
  <si>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</si>
  <si>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</si>
  <si>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</si>
  <si>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</si>
  <si>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</si>
  <si>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</si>
  <si>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</si>
  <si>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</si>
  <si>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</si>
  <si>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</si>
  <si>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</si>
  <si>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</si>
  <si>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</si>
  <si>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</si>
  <si>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</si>
  <si>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</si>
  <si>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</si>
  <si>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</si>
  <si>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</si>
  <si>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</si>
  <si>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</si>
  <si>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</si>
  <si>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</si>
  <si>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</si>
  <si>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</si>
  <si>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</si>
  <si>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</si>
  <si>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</si>
  <si>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</si>
  <si>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</si>
  <si>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</si>
  <si>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</si>
  <si>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</si>
  <si>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</si>
  <si>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</si>
  <si>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</si>
  <si>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</si>
  <si>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</si>
  <si>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</si>
  <si>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</si>
  <si>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</si>
  <si>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</si>
  <si>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</si>
  <si>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</si>
  <si>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</si>
  <si>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</si>
  <si>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</si>
  <si>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</si>
  <si>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</si>
  <si>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</si>
  <si>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</si>
  <si>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</si>
  <si>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</si>
  <si>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</si>
  <si>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</si>
  <si>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</si>
  <si>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</si>
  <si>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</si>
  <si>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</si>
  <si>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</si>
  <si>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</si>
  <si>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</si>
  <si>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</si>
  <si>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</si>
  <si>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</si>
  <si>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</si>
  <si>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</si>
  <si>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</si>
  <si>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</si>
  <si>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</si>
  <si>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</si>
  <si>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</si>
  <si>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</si>
  <si>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</si>
  <si>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</si>
  <si>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</si>
  <si>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</si>
  <si>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</si>
  <si>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</si>
  <si>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</si>
  <si>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</si>
  <si>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</si>
  <si>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</si>
  <si>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</si>
  <si>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</si>
  <si>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</si>
  <si>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</si>
  <si>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</si>
  <si>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</si>
  <si>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</si>
  <si>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</si>
  <si>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</si>
  <si>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</si>
  <si>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</si>
  <si>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</si>
  <si>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</si>
  <si>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</si>
  <si>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</si>
  <si>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</si>
  <si>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</si>
  <si>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</si>
  <si>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</si>
  <si>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</si>
  <si>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</si>
  <si>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</si>
  <si>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</si>
  <si>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</si>
  <si>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</si>
  <si>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</si>
  <si>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</si>
  <si>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</si>
  <si>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</si>
  <si>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</si>
  <si>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</si>
  <si>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</si>
  <si>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</si>
  <si>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</si>
  <si>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</si>
  <si>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</si>
  <si>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</si>
  <si>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</si>
  <si>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</si>
  <si>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</si>
  <si>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</si>
  <si>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</si>
  <si>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</si>
  <si>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</si>
  <si>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</si>
  <si>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</si>
  <si>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</si>
  <si>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</si>
  <si>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</si>
  <si>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</si>
  <si>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</si>
  <si>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</si>
  <si>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</si>
  <si>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</si>
  <si>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</si>
  <si>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</si>
  <si>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</si>
  <si>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</si>
  <si>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</si>
  <si>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</si>
  <si>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</si>
  <si>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</si>
  <si>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</si>
  <si>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</si>
  <si>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</si>
  <si>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</si>
  <si>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</si>
  <si>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</si>
  <si>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</si>
  <si>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</si>
  <si>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</si>
  <si>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</si>
  <si>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</si>
  <si>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</si>
  <si>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</si>
  <si>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</si>
  <si>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</si>
  <si>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</si>
  <si>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</si>
  <si>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</si>
  <si>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</si>
  <si>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</si>
  <si>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</si>
  <si>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</si>
  <si>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</si>
  <si>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</si>
  <si>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</si>
  <si>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</si>
  <si>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</si>
  <si>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</si>
  <si>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</si>
  <si>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</si>
  <si>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</si>
  <si>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</si>
  <si>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</si>
  <si>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</si>
  <si>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</si>
  <si>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</si>
  <si>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</si>
  <si>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</si>
  <si>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</si>
  <si>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</si>
  <si>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</si>
  <si>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</si>
  <si>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</si>
  <si>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</si>
  <si>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</si>
  <si>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</si>
  <si>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</si>
  <si>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</si>
  <si>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</si>
  <si>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</si>
  <si>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</si>
  <si>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</si>
  <si>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</si>
  <si>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</si>
  <si>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</si>
  <si>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</si>
  <si>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</si>
  <si>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</si>
  <si>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</si>
  <si>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</si>
  <si>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</si>
  <si>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</si>
  <si>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</si>
  <si>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</si>
  <si>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</si>
  <si>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</si>
  <si>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</si>
  <si>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</si>
  <si>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</si>
  <si>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</si>
  <si>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</si>
  <si>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</si>
  <si>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</si>
  <si>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</si>
  <si>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</si>
  <si>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</si>
  <si>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</si>
  <si>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</si>
  <si>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</si>
  <si>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</si>
  <si>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</si>
  <si>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</si>
  <si>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</si>
  <si>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</si>
  <si>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</si>
  <si>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</si>
  <si>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</si>
  <si>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</si>
  <si>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</si>
  <si>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</si>
  <si>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</si>
  <si>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</si>
  <si>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</si>
  <si>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</si>
  <si>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</si>
  <si>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</si>
  <si>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</si>
  <si>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</si>
  <si>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</si>
  <si>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</si>
  <si>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</si>
  <si>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</si>
  <si>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</si>
  <si>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</si>
  <si>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</si>
  <si>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</si>
  <si>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</si>
  <si>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</si>
  <si>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</si>
  <si>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</si>
  <si>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</si>
  <si>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</si>
  <si>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</si>
  <si>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</si>
  <si>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</si>
  <si>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</si>
  <si>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</si>
  <si>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</si>
  <si>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</si>
  <si>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</si>
  <si>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</si>
  <si>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</si>
  <si>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</si>
  <si>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</si>
  <si>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</si>
  <si>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</si>
  <si>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</si>
  <si>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</si>
  <si>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</si>
  <si>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</si>
  <si>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</si>
  <si>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</si>
  <si>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</si>
  <si>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</si>
  <si>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</si>
  <si>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</si>
  <si>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</si>
  <si>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</si>
  <si>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</si>
  <si>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</si>
  <si>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</si>
  <si>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</si>
  <si>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</si>
  <si>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</si>
  <si>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</si>
  <si>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</si>
  <si>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</si>
  <si>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</si>
  <si>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</si>
  <si>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</si>
  <si>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</si>
  <si>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</si>
  <si>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</si>
  <si>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</si>
  <si>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</si>
  <si>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</si>
  <si>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</si>
  <si>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</si>
  <si>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</si>
  <si>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</si>
  <si>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</si>
  <si>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</si>
  <si>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</si>
  <si>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</si>
  <si>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</si>
  <si>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</si>
  <si>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</si>
  <si>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</si>
  <si>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</si>
  <si>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</si>
  <si>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</si>
  <si>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</si>
  <si>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</si>
  <si>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</si>
  <si>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</si>
  <si>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</si>
  <si>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</si>
  <si>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</si>
  <si>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</si>
  <si>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</si>
  <si>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</si>
  <si>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</si>
  <si>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</si>
  <si>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</si>
  <si>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</si>
  <si>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</si>
  <si>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</si>
  <si>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</si>
  <si>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</si>
  <si>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</si>
  <si>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</si>
  <si>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</si>
  <si>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</si>
  <si>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</si>
  <si>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</si>
  <si>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</si>
  <si>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</si>
  <si>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</si>
  <si>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</si>
  <si>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</si>
  <si>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</si>
  <si>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</si>
  <si>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</si>
  <si>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</si>
  <si>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</si>
  <si>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</si>
  <si>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</si>
  <si>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</si>
  <si>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</si>
  <si>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</si>
  <si>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</si>
  <si>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</si>
  <si>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</si>
  <si>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</si>
  <si>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</si>
  <si>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</si>
  <si>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</si>
  <si>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</si>
  <si>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</si>
  <si>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</si>
  <si>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</si>
  <si>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</si>
  <si>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</si>
  <si>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</si>
  <si>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</si>
  <si>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</si>
  <si>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</si>
  <si>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</si>
  <si>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</si>
  <si>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</si>
  <si>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</si>
  <si>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</si>
  <si>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</si>
  <si>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</si>
  <si>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</si>
  <si>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</si>
  <si>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</si>
  <si>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</si>
  <si>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</si>
  <si>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</si>
  <si>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</si>
  <si>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</si>
  <si>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</si>
  <si>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</si>
  <si>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</si>
  <si>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</si>
  <si>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</si>
  <si>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</si>
  <si>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</si>
  <si>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</si>
  <si>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</si>
  <si>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</si>
  <si>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</si>
  <si>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</si>
  <si>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</si>
  <si>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</si>
  <si>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</si>
  <si>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</si>
  <si>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</si>
  <si>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</si>
  <si>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</si>
  <si>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</si>
  <si>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</si>
  <si>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</si>
  <si>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</si>
  <si>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</si>
  <si>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</si>
  <si>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</si>
  <si>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</si>
  <si>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</si>
  <si>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</si>
  <si>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</si>
  <si>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</si>
  <si>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</si>
  <si>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</si>
  <si>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</si>
  <si>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</si>
  <si>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</si>
  <si>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</si>
  <si>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</si>
  <si>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</si>
  <si>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</si>
  <si>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</si>
  <si>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</si>
  <si>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</si>
  <si>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</si>
  <si>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</si>
  <si>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</si>
  <si>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</si>
  <si>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</si>
  <si>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</si>
  <si>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</si>
  <si>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</si>
  <si>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</si>
  <si>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</si>
  <si>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</si>
  <si>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</si>
  <si>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</si>
  <si>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</si>
  <si>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</si>
  <si>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</si>
  <si>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</si>
  <si>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</si>
  <si>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</si>
  <si>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</si>
  <si>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</si>
  <si>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</si>
  <si>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</si>
  <si>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</si>
  <si>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</si>
  <si>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</si>
  <si>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</si>
  <si>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</si>
  <si>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</si>
  <si>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</si>
  <si>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</si>
  <si>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</si>
  <si>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</si>
  <si>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</si>
  <si>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</si>
  <si>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</si>
  <si>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</si>
  <si>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</si>
  <si>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</si>
  <si>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</si>
  <si>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</si>
  <si>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</si>
  <si>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</si>
  <si>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</si>
  <si>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</si>
  <si>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</si>
  <si>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</si>
  <si>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</si>
  <si>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</si>
  <si>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</si>
  <si>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</si>
  <si>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</si>
  <si>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</si>
  <si>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</si>
  <si>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</si>
  <si>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</si>
  <si>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</si>
  <si>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</si>
  <si>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</si>
  <si>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</si>
  <si>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</si>
  <si>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</si>
  <si>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</si>
  <si>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</si>
  <si>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</si>
  <si>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</si>
  <si>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</si>
  <si>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</si>
  <si>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</si>
  <si>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</si>
  <si>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</si>
  <si>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</si>
  <si>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</si>
  <si>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</si>
  <si>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</si>
  <si>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</si>
  <si>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</si>
  <si>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</si>
  <si>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</si>
  <si>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</si>
  <si>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</si>
  <si>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</si>
  <si>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</si>
  <si>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</si>
  <si>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</si>
  <si>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</si>
  <si>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</si>
  <si>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</si>
  <si>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</si>
  <si>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</si>
  <si>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</si>
  <si>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</si>
  <si>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</si>
  <si>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</si>
  <si>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</si>
  <si>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</si>
  <si>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</si>
  <si>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</si>
  <si>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</si>
  <si>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</si>
  <si>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</si>
  <si>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</si>
  <si>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</si>
  <si>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</si>
  <si>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</si>
  <si>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</si>
  <si>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</si>
  <si>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</si>
  <si>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</si>
  <si>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</si>
  <si>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</si>
  <si>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</si>
  <si>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</si>
  <si>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</si>
  <si>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</si>
  <si>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</si>
  <si>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</si>
  <si>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</si>
  <si>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</si>
  <si>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</si>
  <si>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</si>
  <si>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</si>
  <si>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</si>
  <si>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</si>
  <si>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</si>
  <si>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</si>
  <si>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</si>
  <si>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</si>
  <si>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</si>
  <si>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</si>
  <si>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</si>
  <si>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</si>
  <si>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</si>
  <si>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</si>
  <si>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</si>
  <si>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</si>
  <si>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</si>
  <si>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</si>
  <si>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</si>
  <si>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</si>
  <si>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</si>
  <si>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</si>
  <si>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</si>
  <si>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</si>
  <si>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</si>
  <si>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</si>
  <si>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</si>
  <si>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</si>
  <si>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</si>
  <si>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</si>
  <si>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</si>
  <si>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</si>
  <si>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</si>
  <si>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</si>
  <si>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</si>
  <si>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</si>
  <si>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</si>
  <si>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</si>
  <si>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</si>
  <si>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</si>
  <si>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</si>
  <si>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</si>
  <si>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</si>
  <si>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</si>
  <si>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</si>
  <si>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</si>
  <si>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</si>
  <si>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</si>
  <si>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</si>
  <si>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</si>
  <si>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</si>
  <si>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</si>
  <si>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</si>
  <si>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</si>
  <si>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</si>
  <si>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</si>
  <si>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</si>
  <si>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</si>
  <si>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</si>
  <si>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</si>
  <si>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</si>
  <si>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</si>
  <si>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</si>
  <si>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</si>
  <si>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</si>
  <si>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</si>
  <si>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</si>
  <si>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</si>
  <si>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</si>
  <si>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</si>
  <si>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</si>
  <si>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</si>
  <si>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</si>
  <si>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</si>
  <si>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</si>
  <si>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</si>
  <si>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</si>
  <si>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</si>
  <si>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</si>
  <si>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</si>
  <si>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</si>
  <si>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</si>
  <si>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</si>
  <si>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</si>
  <si>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</si>
  <si>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</si>
  <si>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</si>
  <si>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</si>
  <si>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</si>
  <si>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</si>
  <si>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</si>
  <si>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</si>
  <si>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</si>
  <si>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</si>
  <si>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</si>
  <si>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</si>
  <si>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</si>
  <si>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</si>
  <si>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</si>
  <si>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</si>
  <si>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</si>
  <si>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</si>
  <si>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</si>
  <si>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</si>
  <si>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</si>
  <si>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</si>
  <si>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</si>
  <si>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</si>
  <si>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</si>
  <si>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</si>
  <si>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</si>
  <si>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</si>
  <si>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</si>
  <si>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</si>
  <si>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</si>
  <si>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</si>
  <si>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</si>
  <si>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</si>
  <si>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</si>
  <si>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</si>
  <si>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</si>
  <si>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</si>
  <si>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</si>
  <si>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</si>
  <si>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</si>
  <si>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</si>
  <si>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</si>
  <si>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</si>
  <si>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</si>
  <si>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</si>
  <si>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</si>
  <si>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</si>
  <si>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</si>
  <si>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</si>
  <si>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</si>
  <si>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</si>
  <si>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</si>
  <si>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</si>
  <si>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</si>
  <si>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</si>
  <si>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</si>
  <si>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</si>
  <si>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</si>
  <si>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</si>
  <si>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</si>
  <si>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</si>
  <si>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</si>
  <si>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</si>
  <si>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</si>
  <si>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</si>
  <si>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</si>
  <si>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</si>
  <si>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</si>
  <si>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</si>
  <si>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</si>
  <si>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</si>
  <si>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</si>
  <si>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</si>
  <si>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</si>
  <si>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</si>
  <si>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</si>
  <si>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</si>
  <si>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</si>
  <si>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</si>
  <si>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</si>
  <si>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</si>
  <si>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</si>
  <si>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</si>
  <si>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</si>
  <si>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</si>
  <si>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</si>
  <si>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</si>
  <si>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</si>
  <si>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</si>
  <si>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</si>
  <si>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</si>
  <si>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</si>
  <si>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</si>
  <si>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</si>
  <si>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</si>
  <si>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</si>
  <si>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</si>
  <si>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</si>
  <si>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</si>
  <si>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</si>
  <si>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</si>
  <si>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</si>
  <si>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</si>
  <si>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</si>
  <si>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</si>
  <si>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</si>
  <si>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</si>
  <si>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</si>
  <si>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</si>
  <si>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</si>
  <si>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</si>
  <si>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</si>
  <si>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</si>
  <si>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</si>
  <si>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</si>
  <si>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</si>
  <si>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</si>
  <si>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</si>
  <si>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</si>
  <si>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</si>
  <si>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</si>
  <si>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</si>
  <si>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</si>
  <si>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</si>
  <si>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</si>
  <si>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</si>
  <si>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</si>
  <si>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</si>
  <si>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</si>
  <si>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</si>
  <si>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</si>
  <si>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</si>
  <si>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</si>
  <si>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</si>
  <si>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</si>
  <si>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</si>
  <si>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</si>
  <si>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</si>
  <si>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</si>
  <si>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</si>
  <si>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</si>
  <si>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</si>
  <si>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</si>
  <si>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</si>
  <si>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</si>
  <si>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</si>
  <si>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</si>
  <si>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</si>
  <si>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</si>
  <si>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</si>
  <si>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</si>
  <si>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</si>
  <si>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</si>
  <si>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</si>
  <si>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</si>
  <si>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</si>
  <si>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</si>
  <si>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</si>
  <si>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</si>
  <si>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</si>
  <si>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</si>
  <si>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</si>
  <si>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</si>
  <si>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</si>
  <si>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</si>
  <si>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</si>
  <si>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</si>
  <si>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</si>
  <si>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</si>
  <si>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</si>
  <si>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</si>
  <si>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</si>
  <si>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</si>
  <si>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</si>
  <si>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</si>
  <si>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</si>
  <si>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</si>
  <si>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</si>
  <si>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</si>
  <si>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</si>
  <si>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</si>
  <si>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</si>
  <si>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</si>
  <si>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</si>
  <si>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</si>
  <si>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</si>
  <si>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</si>
  <si>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</si>
  <si>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</si>
  <si>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</si>
  <si>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</si>
  <si>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</si>
  <si>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</si>
  <si>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</si>
  <si>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</si>
  <si>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</si>
  <si>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</si>
  <si>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</si>
  <si>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</si>
  <si>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</si>
  <si>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</si>
  <si>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</si>
  <si>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</si>
  <si>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</si>
  <si>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</si>
  <si>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</si>
  <si>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</si>
  <si>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</si>
  <si>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</si>
  <si>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</si>
  <si>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</si>
  <si>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</si>
  <si>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</si>
  <si>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</si>
  <si>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</si>
  <si>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</si>
  <si>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</si>
  <si>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</si>
  <si>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</si>
  <si>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</si>
  <si>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</si>
  <si>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</si>
  <si>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</si>
  <si>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</si>
  <si>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</si>
  <si>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</si>
  <si>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</si>
  <si>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</si>
  <si>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</si>
  <si>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</si>
  <si>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</si>
  <si>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</si>
  <si>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</si>
  <si>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</si>
  <si>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</si>
  <si>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</si>
  <si>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</si>
  <si>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</si>
  <si>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</si>
  <si>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</si>
  <si>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</si>
  <si>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</si>
  <si>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</si>
  <si>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</si>
  <si>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</si>
  <si>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</si>
  <si>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</si>
  <si>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</si>
  <si>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</si>
  <si>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</si>
  <si>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</si>
  <si>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</si>
  <si>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</si>
  <si>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</si>
  <si>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</si>
  <si>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</si>
  <si>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</si>
  <si>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</si>
  <si>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</si>
  <si>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</si>
  <si>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</si>
  <si>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</si>
  <si>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</si>
  <si>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</si>
  <si>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</si>
  <si>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</si>
  <si>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</si>
  <si>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</si>
  <si>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</si>
  <si>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</si>
  <si>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</si>
  <si>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</si>
  <si>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</si>
  <si>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</si>
  <si>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</si>
  <si>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</si>
  <si>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</si>
  <si>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</si>
  <si>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</si>
  <si>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</si>
  <si>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</si>
  <si>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</si>
  <si>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</si>
  <si>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</si>
  <si>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</si>
  <si>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</si>
  <si>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</si>
  <si>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</si>
  <si>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</si>
  <si>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</si>
  <si>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</si>
  <si>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</si>
  <si>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</si>
  <si>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</si>
  <si>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</si>
  <si>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</si>
  <si>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</si>
  <si>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</si>
  <si>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</si>
  <si>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</si>
  <si>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</si>
  <si>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</si>
  <si>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</si>
  <si>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</si>
  <si>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</si>
  <si>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</si>
  <si>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</si>
  <si>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</si>
  <si>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</si>
  <si>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</si>
  <si>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</si>
  <si>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</si>
  <si>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</si>
  <si>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</si>
  <si>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</si>
  <si>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</si>
  <si>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</si>
  <si>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</si>
  <si>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</si>
  <si>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</si>
  <si>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</si>
  <si>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</si>
  <si>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</si>
  <si>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</si>
  <si>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</si>
  <si>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</si>
  <si>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</si>
  <si>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</si>
  <si>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</si>
  <si>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</si>
  <si>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</si>
  <si>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</si>
  <si>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</si>
  <si>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</si>
  <si>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</si>
  <si>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</si>
  <si>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</si>
  <si>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</si>
  <si>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</si>
  <si>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</si>
  <si>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</si>
  <si>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</si>
  <si>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</si>
  <si>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</si>
  <si>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</si>
  <si>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</si>
  <si>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</si>
  <si>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</si>
  <si>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</si>
  <si>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</si>
  <si>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</si>
  <si>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</si>
  <si>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</si>
  <si>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</si>
  <si>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</si>
  <si>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</si>
  <si>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</si>
  <si>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</si>
  <si>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</si>
  <si>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</si>
  <si>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</si>
  <si>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</si>
  <si>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</si>
  <si>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</si>
  <si>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</si>
  <si>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</si>
  <si>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</si>
  <si>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</si>
  <si>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</si>
  <si>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</si>
  <si>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</si>
  <si>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</si>
  <si>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</si>
  <si>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</si>
  <si>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</si>
  <si>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</si>
  <si>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</si>
  <si>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</si>
  <si>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</si>
  <si>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</si>
  <si>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</si>
  <si>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</si>
  <si>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</si>
  <si>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</si>
  <si>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</si>
  <si>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</si>
  <si>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</si>
  <si>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</si>
  <si>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</si>
  <si>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</si>
  <si>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</si>
  <si>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</si>
  <si>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</si>
  <si>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</si>
  <si>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</si>
  <si>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</si>
  <si>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</si>
  <si>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</si>
  <si>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</si>
  <si>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</si>
  <si>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</si>
  <si>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</si>
  <si>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</si>
  <si>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</si>
  <si>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</si>
  <si>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</si>
  <si>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</si>
  <si>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</si>
  <si>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</si>
  <si>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</si>
  <si>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</si>
  <si>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</si>
  <si>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</si>
  <si>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</si>
  <si>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</si>
  <si>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</si>
  <si>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</si>
  <si>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</si>
  <si>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</si>
  <si>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</si>
  <si>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</si>
  <si>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</si>
  <si>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</si>
  <si>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</si>
  <si>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</si>
  <si>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</si>
  <si>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</si>
  <si>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</si>
  <si>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</si>
  <si>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</si>
  <si>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</si>
  <si>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</si>
  <si>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</si>
  <si>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</si>
  <si>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</si>
  <si>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</si>
  <si>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</si>
  <si>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</si>
  <si>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</si>
  <si>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</si>
  <si>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</si>
  <si>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</si>
  <si>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</si>
  <si>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</si>
  <si>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</si>
  <si>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</si>
  <si>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</si>
  <si>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</si>
  <si>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</si>
  <si>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</si>
  <si>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</si>
  <si>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</si>
  <si>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</si>
  <si>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</si>
  <si>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</si>
  <si>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</si>
  <si>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</si>
  <si>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</si>
  <si>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</si>
  <si>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</si>
  <si>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</si>
  <si>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</si>
  <si>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</si>
  <si>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</si>
  <si>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</si>
  <si>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</si>
  <si>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</si>
  <si>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</si>
  <si>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</si>
  <si>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</si>
  <si>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</si>
  <si>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</si>
  <si>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</si>
  <si>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</si>
  <si>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</si>
  <si>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</si>
  <si>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</si>
  <si>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</si>
  <si>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</si>
  <si>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</si>
  <si>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</si>
  <si>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</si>
  <si>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</si>
  <si>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</si>
  <si>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</si>
  <si>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</si>
  <si>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</si>
  <si>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</si>
  <si>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</si>
  <si>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</si>
  <si>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</si>
  <si>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</si>
  <si>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</si>
  <si>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</si>
  <si>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</si>
  <si>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</si>
  <si>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</si>
  <si>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</si>
  <si>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</si>
  <si>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</si>
  <si>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</si>
  <si>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</si>
  <si>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</si>
  <si>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</si>
  <si>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</si>
  <si>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</si>
  <si>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</si>
  <si>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</si>
  <si>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</si>
  <si>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</si>
  <si>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</si>
  <si>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</si>
  <si>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</si>
  <si>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</si>
  <si>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</si>
  <si>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</si>
  <si>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</si>
  <si>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</si>
  <si>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</si>
  <si>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</si>
  <si>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</si>
  <si>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</si>
  <si>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</si>
  <si>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</si>
  <si>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</si>
  <si>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</si>
  <si>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</si>
  <si>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</si>
  <si>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</si>
  <si>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</si>
  <si>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</si>
  <si>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</si>
  <si>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</si>
  <si>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</si>
  <si>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</si>
  <si>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</si>
  <si>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</si>
  <si>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</si>
  <si>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</si>
  <si>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</si>
  <si>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</si>
  <si>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</si>
  <si>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</si>
  <si>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</si>
  <si>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</si>
  <si>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</si>
  <si>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</si>
  <si>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</si>
  <si>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</si>
  <si>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</si>
  <si>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</si>
  <si>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</si>
  <si>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</si>
  <si>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</si>
  <si>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</si>
  <si>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</si>
  <si>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</si>
  <si>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</si>
  <si>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</si>
  <si>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</si>
  <si>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</si>
  <si>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</si>
  <si>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</si>
  <si>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</si>
  <si>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</si>
  <si>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</si>
  <si>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</si>
  <si>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</si>
  <si>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</si>
  <si>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</si>
  <si>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</si>
  <si>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</si>
  <si>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</si>
  <si>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</si>
  <si>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</si>
  <si>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</si>
  <si>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</si>
  <si>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</si>
  <si>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</si>
  <si>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</si>
  <si>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</si>
  <si>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</si>
  <si>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</si>
  <si>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</si>
  <si>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</si>
  <si>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</si>
  <si>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</si>
  <si>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</si>
  <si>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</si>
  <si>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</si>
  <si>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</si>
  <si>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</si>
  <si>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</si>
  <si>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</si>
  <si>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</si>
  <si>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</si>
  <si>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</si>
  <si>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</si>
  <si>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</si>
  <si>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</si>
  <si>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</si>
  <si>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</si>
  <si>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</si>
  <si>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</si>
  <si>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</si>
  <si>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</si>
  <si>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</si>
  <si>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</si>
  <si>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</si>
  <si>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</si>
  <si>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</si>
  <si>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</si>
  <si>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</si>
  <si>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</si>
  <si>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</si>
  <si>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</si>
  <si>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</si>
  <si>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</si>
  <si>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</si>
  <si>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</si>
  <si>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</si>
  <si>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</si>
  <si>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</si>
  <si>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</si>
  <si>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</si>
  <si>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</si>
  <si>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</si>
  <si>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</si>
  <si>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</si>
  <si>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</si>
  <si>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</si>
  <si>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</si>
  <si>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</si>
  <si>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</si>
  <si>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</si>
  <si>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</si>
  <si>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</si>
  <si>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</si>
  <si>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</si>
  <si>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</si>
  <si>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</si>
  <si>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</si>
  <si>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</si>
  <si>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</si>
  <si>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</si>
  <si>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</si>
  <si>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</si>
  <si>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</si>
  <si>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</si>
  <si>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</si>
  <si>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</si>
  <si>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</si>
  <si>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</si>
  <si>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</si>
  <si>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</si>
  <si>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</si>
  <si>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</si>
  <si>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</si>
  <si>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</si>
  <si>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</si>
  <si>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</si>
  <si>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</si>
  <si>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</si>
  <si>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</si>
  <si>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</si>
  <si>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</si>
  <si>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</si>
  <si>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</si>
  <si>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</si>
  <si>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</si>
  <si>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</si>
  <si>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</si>
  <si>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</si>
  <si>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</si>
  <si>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</si>
  <si>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</si>
  <si>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</si>
  <si>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</si>
  <si>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</si>
  <si>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</si>
  <si>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</si>
  <si>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</si>
  <si>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</si>
  <si>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</si>
  <si>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</si>
  <si>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</si>
  <si>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</si>
  <si>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</si>
  <si>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</si>
  <si>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</si>
  <si>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</si>
  <si>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</si>
  <si>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</si>
  <si>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</si>
  <si>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</si>
  <si>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</si>
  <si>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</si>
  <si>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</si>
  <si>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</si>
  <si>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</si>
  <si>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</si>
  <si>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</si>
  <si>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</si>
  <si>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</si>
  <si>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</si>
  <si>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</si>
  <si>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</si>
  <si>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</si>
  <si>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</si>
  <si>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</si>
  <si>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</si>
  <si>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</si>
  <si>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</si>
  <si>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</si>
  <si>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</si>
  <si>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</si>
  <si>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</si>
  <si>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</si>
  <si>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</si>
  <si>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</si>
  <si>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</si>
  <si>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</si>
  <si>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</si>
  <si>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</si>
  <si>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</si>
  <si>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</si>
  <si>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</si>
  <si>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</si>
  <si>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</si>
  <si>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</si>
  <si>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</si>
  <si>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</si>
  <si>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</si>
  <si>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</si>
  <si>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</si>
  <si>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</si>
  <si>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</si>
  <si>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</si>
  <si>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</si>
  <si>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</si>
  <si>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</si>
  <si>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</si>
  <si>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</si>
  <si>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</si>
  <si>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</si>
  <si>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</si>
  <si>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</si>
  <si>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</si>
  <si>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</si>
  <si>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</si>
  <si>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</si>
  <si>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</si>
  <si>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</si>
  <si>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</si>
  <si>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</si>
  <si>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</si>
  <si>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</si>
  <si>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</si>
  <si>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</si>
  <si>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</si>
  <si>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</si>
  <si>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</si>
  <si>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</si>
  <si>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</si>
  <si>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</si>
  <si>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</si>
  <si>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</si>
  <si>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</si>
  <si>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</si>
  <si>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</si>
  <si>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</si>
  <si>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</si>
  <si>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</si>
  <si>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</si>
  <si>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</si>
  <si>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</si>
  <si>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</si>
  <si>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</si>
  <si>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</si>
  <si>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</si>
  <si>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</si>
  <si>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</si>
  <si>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</si>
  <si>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</si>
  <si>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</si>
  <si>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</si>
  <si>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</si>
  <si>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</si>
  <si>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</si>
  <si>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</si>
  <si>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</si>
  <si>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</si>
  <si>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</si>
  <si>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</si>
  <si>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</si>
  <si>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</si>
  <si>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</si>
  <si>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</si>
  <si>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</si>
  <si>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</si>
  <si>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</si>
  <si>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</si>
  <si>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</si>
  <si>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</si>
  <si>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</si>
  <si>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</si>
  <si>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</si>
  <si>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</si>
  <si>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</si>
  <si>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</si>
  <si>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</si>
  <si>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</si>
  <si>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</si>
  <si>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</si>
  <si>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</si>
  <si>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</si>
  <si>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</si>
  <si>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</si>
  <si>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</si>
  <si>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</si>
  <si>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</si>
  <si>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</si>
  <si>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</si>
  <si>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</si>
  <si>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</si>
  <si>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</si>
  <si>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</si>
  <si>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</si>
  <si>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</si>
  <si>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</si>
  <si>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</si>
  <si>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</si>
  <si>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</si>
  <si>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</si>
  <si>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</si>
  <si>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</si>
  <si>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</si>
  <si>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</si>
  <si>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</si>
  <si>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</si>
  <si>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</si>
  <si>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</si>
  <si>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</si>
  <si>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</si>
  <si>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</si>
  <si>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</si>
  <si>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</si>
  <si>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</si>
  <si>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</si>
  <si>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</si>
  <si>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</si>
  <si>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</si>
  <si>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</si>
  <si>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</si>
  <si>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</si>
  <si>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</si>
  <si>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</si>
  <si>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</si>
  <si>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</si>
  <si>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</si>
  <si>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</si>
  <si>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</si>
  <si>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</si>
  <si>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</si>
  <si>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</si>
  <si>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</si>
  <si>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</si>
  <si>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</si>
  <si>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</si>
  <si>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</si>
  <si>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</si>
  <si>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</si>
  <si>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</si>
  <si>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</si>
  <si>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</si>
  <si>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</si>
  <si>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</si>
  <si>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</si>
  <si>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</si>
  <si>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</si>
  <si>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</si>
  <si>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</si>
  <si>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</si>
  <si>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</si>
  <si>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</si>
  <si>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</si>
  <si>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</si>
  <si>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</si>
  <si>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</si>
  <si>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</si>
  <si>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</si>
  <si>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</si>
  <si>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</si>
  <si>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</si>
  <si>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</si>
  <si>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</si>
  <si>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</si>
  <si>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</si>
  <si>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</si>
  <si>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</si>
  <si>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</si>
  <si>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</si>
  <si>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</si>
  <si>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</si>
  <si>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</si>
  <si>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</si>
  <si>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</si>
  <si>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</si>
  <si>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</si>
  <si>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</si>
  <si>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</si>
  <si>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</si>
  <si>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</si>
  <si>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</si>
  <si>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</si>
  <si>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</si>
  <si>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</si>
  <si>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</si>
  <si>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</si>
  <si>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</si>
  <si>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</si>
  <si>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</si>
  <si>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</si>
  <si>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</si>
  <si>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</si>
  <si>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</si>
  <si>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</si>
  <si>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</si>
  <si>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</si>
  <si>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</si>
  <si>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</si>
  <si>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</si>
  <si>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</si>
  <si>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</si>
  <si>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</si>
  <si>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</si>
  <si>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</si>
  <si>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</si>
  <si>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</si>
  <si>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</si>
  <si>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</si>
  <si>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</si>
  <si>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</si>
  <si>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</si>
  <si>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</si>
  <si>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</si>
  <si>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</si>
  <si>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</si>
  <si>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</si>
  <si>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</si>
  <si>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</si>
  <si>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</si>
  <si>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</si>
  <si>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</si>
  <si>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</si>
  <si>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</si>
  <si>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</si>
  <si>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</si>
  <si>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</si>
  <si>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</si>
  <si>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</si>
  <si>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</si>
  <si>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</si>
  <si>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</si>
  <si>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</si>
  <si>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</si>
  <si>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</si>
  <si>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</si>
  <si>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</si>
  <si>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</si>
  <si>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</si>
  <si>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</si>
  <si>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</si>
  <si>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</si>
  <si>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</si>
  <si>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</si>
  <si>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</si>
  <si>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</si>
  <si>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</si>
  <si>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</si>
  <si>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</si>
  <si>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</si>
  <si>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</si>
  <si>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</si>
  <si>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</si>
  <si>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</si>
  <si>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</si>
  <si>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</si>
  <si>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</si>
  <si>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</si>
  <si>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</si>
  <si>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</si>
  <si>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</si>
  <si>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</si>
  <si>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</si>
  <si>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</si>
  <si>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</si>
  <si>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</si>
  <si>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</si>
  <si>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</si>
  <si>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</si>
  <si>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</si>
  <si>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</si>
  <si>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</si>
  <si>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</si>
  <si>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</si>
  <si>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</si>
  <si>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</si>
  <si>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</si>
  <si>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</si>
  <si>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</si>
  <si>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</si>
  <si>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</si>
  <si>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</si>
  <si>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</si>
  <si>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</si>
  <si>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</si>
  <si>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</si>
  <si>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</si>
  <si>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</si>
  <si>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</si>
  <si>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</si>
  <si>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</si>
  <si>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</si>
  <si>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</si>
  <si>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</si>
  <si>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</si>
  <si>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</si>
  <si>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</si>
  <si>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</si>
  <si>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</si>
  <si>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</si>
  <si>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</si>
  <si>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</si>
  <si>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</si>
  <si>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</si>
  <si>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</si>
  <si>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</si>
  <si>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</si>
  <si>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</si>
  <si>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</si>
  <si>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</si>
  <si>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</si>
  <si>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</si>
  <si>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</si>
  <si>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</si>
  <si>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</si>
  <si>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</si>
  <si>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</si>
  <si>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</si>
  <si>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</si>
  <si>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</si>
  <si>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</si>
  <si>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</si>
  <si>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</si>
  <si>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</si>
  <si>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</si>
  <si>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</si>
  <si>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</si>
  <si>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</si>
  <si>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</si>
  <si>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</si>
  <si>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</si>
  <si>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</si>
  <si>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</si>
  <si>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</si>
  <si>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</si>
  <si>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</si>
  <si>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</si>
  <si>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</si>
  <si>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</si>
  <si>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</si>
  <si>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</si>
  <si>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</si>
  <si>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</si>
  <si>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</si>
  <si>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</si>
  <si>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</si>
  <si>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</si>
  <si>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</si>
  <si>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</si>
  <si>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</si>
  <si>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</si>
  <si>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</si>
  <si>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</si>
  <si>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</si>
  <si>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</si>
  <si>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</si>
  <si>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</si>
  <si>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</si>
  <si>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</si>
  <si>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</si>
  <si>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</si>
  <si>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</si>
  <si>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</si>
  <si>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</si>
  <si>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</si>
  <si>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</si>
  <si>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</si>
  <si>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</si>
  <si>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</si>
  <si>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</si>
  <si>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</si>
  <si>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</si>
  <si>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</si>
  <si>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</si>
  <si>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</si>
  <si>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</si>
  <si>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</si>
  <si>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</si>
  <si>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</si>
  <si>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</si>
  <si>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</si>
  <si>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</si>
  <si>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</si>
  <si>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</si>
  <si>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</si>
  <si>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</si>
  <si>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</si>
  <si>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</si>
  <si>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</si>
  <si>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</si>
  <si>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</si>
  <si>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</si>
  <si>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</si>
  <si>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</si>
  <si>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</si>
  <si>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</si>
  <si>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</si>
  <si>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</si>
  <si>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</si>
  <si>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</si>
  <si>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</si>
  <si>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</si>
  <si>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</si>
  <si>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</si>
  <si>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</si>
  <si>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</si>
  <si>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</si>
  <si>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</si>
  <si>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</si>
  <si>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</si>
  <si>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</si>
  <si>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</si>
  <si>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</si>
  <si>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</si>
  <si>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</si>
  <si>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</si>
  <si>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</si>
  <si>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</si>
  <si>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</si>
  <si>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</si>
  <si>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</si>
  <si>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</si>
  <si>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</si>
  <si>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</si>
  <si>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</si>
  <si>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</si>
  <si>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</si>
  <si>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</si>
  <si>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</si>
  <si>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</si>
  <si>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</si>
  <si>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</si>
  <si>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</si>
  <si>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</si>
  <si>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</si>
  <si>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</si>
  <si>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</si>
  <si>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</si>
  <si>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</si>
  <si>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</si>
  <si>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</si>
  <si>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</si>
  <si>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</si>
  <si>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</si>
  <si>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</si>
  <si>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</si>
  <si>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</si>
  <si>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</si>
  <si>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</si>
  <si>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</si>
  <si>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</si>
  <si>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</si>
  <si>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</si>
  <si>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</si>
  <si>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</si>
  <si>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</si>
  <si>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</si>
  <si>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</si>
  <si>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</si>
  <si>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</si>
  <si>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</si>
  <si>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</si>
  <si>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</si>
  <si>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</si>
  <si>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</si>
  <si>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</si>
  <si>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</si>
  <si>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</si>
  <si>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</si>
  <si>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</si>
  <si>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</si>
  <si>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</si>
  <si>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</si>
  <si>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</si>
  <si>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</si>
  <si>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</si>
  <si>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</si>
  <si>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</si>
  <si>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</si>
  <si>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</si>
  <si>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</si>
  <si>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</si>
  <si>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</si>
  <si>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</si>
  <si>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</si>
  <si>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</si>
  <si>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</si>
  <si>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</si>
  <si>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</si>
  <si>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</si>
  <si>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</si>
  <si>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</si>
  <si>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</si>
  <si>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</si>
  <si>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</si>
  <si>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</si>
  <si>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</si>
  <si>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</si>
  <si>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</si>
  <si>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</si>
  <si>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</si>
  <si>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</si>
  <si>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</si>
  <si>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</si>
  <si>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</si>
  <si>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</si>
  <si>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</si>
  <si>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</si>
  <si>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</si>
  <si>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</si>
  <si>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</si>
  <si>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</si>
  <si>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</si>
  <si>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</si>
  <si>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</si>
  <si>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</si>
  <si>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</si>
  <si>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</si>
  <si>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</si>
  <si>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</si>
  <si>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</si>
  <si>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</si>
  <si>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</si>
  <si>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</si>
  <si>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</si>
  <si>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</si>
  <si>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</si>
  <si>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</si>
  <si>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</si>
  <si>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</si>
  <si>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</si>
  <si>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</si>
  <si>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</si>
  <si>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</si>
  <si>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</si>
  <si>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</si>
  <si>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</si>
  <si>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</si>
  <si>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</si>
  <si>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</si>
  <si>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</si>
  <si>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</si>
  <si>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</si>
  <si>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</si>
  <si>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</si>
  <si>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</si>
  <si>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</si>
  <si>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</si>
  <si>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</si>
  <si>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</si>
  <si>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</si>
  <si>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</si>
  <si>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</si>
  <si>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</si>
  <si>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</si>
  <si>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</si>
  <si>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</si>
  <si>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</si>
  <si>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</si>
  <si>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</si>
  <si>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</si>
  <si>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</si>
  <si>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</si>
  <si>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</si>
  <si>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</si>
  <si>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</si>
  <si>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</si>
  <si>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</si>
  <si>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</si>
  <si>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</si>
  <si>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</si>
  <si>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</si>
  <si>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</si>
  <si>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</si>
  <si>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</si>
  <si>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</si>
  <si>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</si>
  <si>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</si>
  <si>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</si>
  <si>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</si>
  <si>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</si>
  <si>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</si>
  <si>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</si>
  <si>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</si>
  <si>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</si>
  <si>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</si>
  <si>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</si>
  <si>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</si>
  <si>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</si>
  <si>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</si>
  <si>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</si>
  <si>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</si>
  <si>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</si>
  <si>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</si>
  <si>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</si>
  <si>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</si>
  <si>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</si>
  <si>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</si>
  <si>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</si>
  <si>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</si>
  <si>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</si>
  <si>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</si>
  <si>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</si>
  <si>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</si>
  <si>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</si>
  <si>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</si>
  <si>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</si>
  <si>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</si>
  <si>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</si>
  <si>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</si>
  <si>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</si>
  <si>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</si>
  <si>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</si>
  <si>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</si>
  <si>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</si>
  <si>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</si>
  <si>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</si>
  <si>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</si>
  <si>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</si>
  <si>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</si>
  <si>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</si>
  <si>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</si>
  <si>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</si>
  <si>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</si>
  <si>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</si>
  <si>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</si>
  <si>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</si>
  <si>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</si>
  <si>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</si>
  <si>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</si>
  <si>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</si>
  <si>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</si>
  <si>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</si>
  <si>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</si>
  <si>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</si>
  <si>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</si>
  <si>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</si>
  <si>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</si>
  <si>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</si>
  <si>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</si>
  <si>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</si>
  <si>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</si>
  <si>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</si>
  <si>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</si>
  <si>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</si>
  <si>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</si>
  <si>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</si>
  <si>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</si>
  <si>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</si>
  <si>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</si>
  <si>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</si>
  <si>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</si>
  <si>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</si>
  <si>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</si>
  <si>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</si>
  <si>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</si>
  <si>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</si>
  <si>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</si>
  <si>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</si>
  <si>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</si>
  <si>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</si>
  <si>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</si>
  <si>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</si>
  <si>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</si>
  <si>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</si>
  <si>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</si>
  <si>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</si>
  <si>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</si>
  <si>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</si>
  <si>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</si>
  <si>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</si>
  <si>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</si>
  <si>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</si>
  <si>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</si>
  <si>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</si>
  <si>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</si>
  <si>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</si>
  <si>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</si>
  <si>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</si>
  <si>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</si>
  <si>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</si>
  <si>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</si>
  <si>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</si>
  <si>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</si>
  <si>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</si>
  <si>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</si>
  <si>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</si>
  <si>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</si>
  <si>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</si>
  <si>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</si>
  <si>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</si>
  <si>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</si>
  <si>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</si>
  <si>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</si>
  <si>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</si>
  <si>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</si>
  <si>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</si>
  <si>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</si>
  <si>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</si>
  <si>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</si>
  <si>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</si>
  <si>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</si>
  <si>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</si>
  <si>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</si>
  <si>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</si>
  <si>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</si>
  <si>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</si>
  <si>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</si>
  <si>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</si>
  <si>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</si>
  <si>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</si>
  <si>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</si>
  <si>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</si>
  <si>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</si>
  <si>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</si>
  <si>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</si>
  <si>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</si>
  <si>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</si>
  <si>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</si>
  <si>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</si>
  <si>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</si>
  <si>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</si>
  <si>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</si>
  <si>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</si>
  <si>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</si>
  <si>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</si>
  <si>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</si>
  <si>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</si>
  <si>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</si>
  <si>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</si>
  <si>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</si>
  <si>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</si>
  <si>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</si>
  <si>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</si>
  <si>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</si>
  <si>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</si>
  <si>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</si>
  <si>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</si>
  <si>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</si>
  <si>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</si>
  <si>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</si>
  <si>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</si>
  <si>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</si>
  <si>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</si>
  <si>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</si>
  <si>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</si>
  <si>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</si>
  <si>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</si>
  <si>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</si>
  <si>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</si>
  <si>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</si>
  <si>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</si>
  <si>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</si>
  <si>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</si>
  <si>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</si>
  <si>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</si>
  <si>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</si>
  <si>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</si>
  <si>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</si>
  <si>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</si>
  <si>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</si>
  <si>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</si>
  <si>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</si>
  <si>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</si>
  <si>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</si>
  <si>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</si>
  <si>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</si>
  <si>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</si>
  <si>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</si>
  <si>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</si>
  <si>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</si>
  <si>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</si>
  <si>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</si>
  <si>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</si>
  <si>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</si>
  <si>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</si>
  <si>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</si>
  <si>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</si>
  <si>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</si>
  <si>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</si>
  <si>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</si>
  <si>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</si>
  <si>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</si>
  <si>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</si>
  <si>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</si>
  <si>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</si>
  <si>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</si>
  <si>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</si>
  <si>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</si>
  <si>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</si>
  <si>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</si>
  <si>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</si>
  <si>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</si>
  <si>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</si>
  <si>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</si>
  <si>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</si>
  <si>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</si>
  <si>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</si>
  <si>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</si>
  <si>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</si>
  <si>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</si>
  <si>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</si>
  <si>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</si>
  <si>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</si>
  <si>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</si>
  <si>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</si>
  <si>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</si>
  <si>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</si>
  <si>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</si>
  <si>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</si>
  <si>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</si>
  <si>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</si>
  <si>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</si>
  <si>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</si>
  <si>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</si>
  <si>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</si>
  <si>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</si>
  <si>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</si>
  <si>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</si>
  <si>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</si>
  <si>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</si>
  <si>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</si>
  <si>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</si>
  <si>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</si>
  <si>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</si>
  <si>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</si>
  <si>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</si>
  <si>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</si>
  <si>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</si>
  <si>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</si>
  <si>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</si>
  <si>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</si>
  <si>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</si>
  <si>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</si>
  <si>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</si>
  <si>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</si>
  <si>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</si>
  <si>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</si>
  <si>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</si>
  <si>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</si>
  <si>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</si>
  <si>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</si>
  <si>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</si>
  <si>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</si>
  <si>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</si>
  <si>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</si>
  <si>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</si>
  <si>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</si>
  <si>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</si>
  <si>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</si>
  <si>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</si>
  <si>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</si>
  <si>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</si>
  <si>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</si>
  <si>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</si>
  <si>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</si>
  <si>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</si>
  <si>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</si>
  <si>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</si>
  <si>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</si>
  <si>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</si>
  <si>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</si>
  <si>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</si>
  <si>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</si>
  <si>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</si>
  <si>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</si>
  <si>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</si>
  <si>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</si>
  <si>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</si>
  <si>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</si>
  <si>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</si>
  <si>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</si>
  <si>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</si>
  <si>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</si>
  <si>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</si>
  <si>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</si>
  <si>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</si>
  <si>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</si>
  <si>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</si>
  <si>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</si>
  <si>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</si>
  <si>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</si>
  <si>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</si>
  <si>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</si>
  <si>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</si>
  <si>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</si>
  <si>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</si>
  <si>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</si>
  <si>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</si>
  <si>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</si>
  <si>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</si>
  <si>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</si>
  <si>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</si>
  <si>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</si>
  <si>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</si>
  <si>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</si>
  <si>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</si>
  <si>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</si>
  <si>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</si>
  <si>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</si>
  <si>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</si>
  <si>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</si>
  <si>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</si>
  <si>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</si>
  <si>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</si>
  <si>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</si>
  <si>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</si>
  <si>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</si>
  <si>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</si>
  <si>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</si>
  <si>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</si>
  <si>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</si>
  <si>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</si>
  <si>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</si>
  <si>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</si>
  <si>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</si>
  <si>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</si>
  <si>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</si>
  <si>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</si>
  <si>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</si>
  <si>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</si>
  <si>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</si>
  <si>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</si>
  <si>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</si>
  <si>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</si>
  <si>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</si>
  <si>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</si>
  <si>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</si>
  <si>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</si>
  <si>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</si>
  <si>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</si>
  <si>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</si>
  <si>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</si>
  <si>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</si>
  <si>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</si>
  <si>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</si>
  <si>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</si>
  <si>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</si>
  <si>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</si>
  <si>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</si>
  <si>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</si>
  <si>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</si>
  <si>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</si>
  <si>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</si>
  <si>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</si>
  <si>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</si>
  <si>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</si>
  <si>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</si>
  <si>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</si>
  <si>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</si>
  <si>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</si>
  <si>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</si>
  <si>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</si>
  <si>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</si>
  <si>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</si>
  <si>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</si>
  <si>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</si>
  <si>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</si>
  <si>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</si>
  <si>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</si>
  <si>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</si>
  <si>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</si>
  <si>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</si>
  <si>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</si>
  <si>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</si>
  <si>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</si>
  <si>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</si>
  <si>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</si>
  <si>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</si>
  <si>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</si>
  <si>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</si>
  <si>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</si>
  <si>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</si>
  <si>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</si>
  <si>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</si>
  <si>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</si>
  <si>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</si>
  <si>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</si>
  <si>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</si>
  <si>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</si>
  <si>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</si>
  <si>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</si>
  <si>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</si>
  <si>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</si>
  <si>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</si>
  <si>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</si>
  <si>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</si>
  <si>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</si>
  <si>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</si>
  <si>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</si>
  <si>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</si>
  <si>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</si>
  <si>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</si>
  <si>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</si>
  <si>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</si>
  <si>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</si>
  <si>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</si>
  <si>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</si>
  <si>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</si>
  <si>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</si>
  <si>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</si>
  <si>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</si>
  <si>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</si>
  <si>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</si>
  <si>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</si>
  <si>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</si>
  <si>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</si>
  <si>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</si>
  <si>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</si>
  <si>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</si>
  <si>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</si>
  <si>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</si>
  <si>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</si>
  <si>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</si>
  <si>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</si>
  <si>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</si>
  <si>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</si>
  <si>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</si>
  <si>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</si>
  <si>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</si>
  <si>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</si>
  <si>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</si>
  <si>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</si>
  <si>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</si>
  <si>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</si>
  <si>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</si>
  <si>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</si>
  <si>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</si>
  <si>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</si>
  <si>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</si>
  <si>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</si>
  <si>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</si>
  <si>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</si>
  <si>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</si>
  <si>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</si>
  <si>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</si>
  <si>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</si>
  <si>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</si>
  <si>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</si>
  <si>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</si>
  <si>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</si>
  <si>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</si>
  <si>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</si>
  <si>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</si>
  <si>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</si>
  <si>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</si>
  <si>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</si>
  <si>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</si>
  <si>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</si>
  <si>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</si>
  <si>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</si>
  <si>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</si>
  <si>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</si>
  <si>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</si>
  <si>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</si>
  <si>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</si>
  <si>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</si>
  <si>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</si>
  <si>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</si>
  <si>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</si>
  <si>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</si>
  <si>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</si>
  <si>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</si>
  <si>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</si>
  <si>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</si>
  <si>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</si>
  <si>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</si>
  <si>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</si>
  <si>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</si>
  <si>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</si>
  <si>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</si>
  <si>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</si>
  <si>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</si>
  <si>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</si>
  <si>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</si>
  <si>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</si>
  <si>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</si>
  <si>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</si>
  <si>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</si>
  <si>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</si>
  <si>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</si>
  <si>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</si>
  <si>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</si>
  <si>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</si>
  <si>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</si>
  <si>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</si>
  <si>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</si>
  <si>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</si>
  <si>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</si>
  <si>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</si>
  <si>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</si>
  <si>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</si>
  <si>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</si>
  <si>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</si>
  <si>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</si>
  <si>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</si>
  <si>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</si>
  <si>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</si>
  <si>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</si>
  <si>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</si>
  <si>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</si>
  <si>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</si>
  <si>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</si>
  <si>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</si>
  <si>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</si>
  <si>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</si>
  <si>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</si>
  <si>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</si>
  <si>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</si>
  <si>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</si>
  <si>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</si>
  <si>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</si>
  <si>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</si>
  <si>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</si>
  <si>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</si>
  <si>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</si>
  <si>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</si>
  <si>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</si>
  <si>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</si>
  <si>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</si>
  <si>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</si>
  <si>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</si>
  <si>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</si>
  <si>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</si>
  <si>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</si>
  <si>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</si>
  <si>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</si>
  <si>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</si>
  <si>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</si>
  <si>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</si>
  <si>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</si>
  <si>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</si>
  <si>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</si>
  <si>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</si>
  <si>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</si>
  <si>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</si>
  <si>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</si>
  <si>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</si>
  <si>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</si>
  <si>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</si>
  <si>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</si>
  <si>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</si>
  <si>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</si>
  <si>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</si>
  <si>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</si>
  <si>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</si>
  <si>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</si>
  <si>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</si>
  <si>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</si>
  <si>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</si>
  <si>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</si>
  <si>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</si>
  <si>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</si>
  <si>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</si>
  <si>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</si>
  <si>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</si>
  <si>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</si>
  <si>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</si>
  <si>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</si>
  <si>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</si>
  <si>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</si>
  <si>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</si>
  <si>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</si>
  <si>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</si>
  <si>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</si>
  <si>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</si>
  <si>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</si>
  <si>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</si>
  <si>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</si>
  <si>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</si>
  <si>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</si>
  <si>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</si>
  <si>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</si>
  <si>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</si>
  <si>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</si>
  <si>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</si>
  <si>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</si>
  <si>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</si>
  <si>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</si>
  <si>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</si>
  <si>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</si>
  <si>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</si>
  <si>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</si>
  <si>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</si>
  <si>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</si>
  <si>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</si>
  <si>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</si>
  <si>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</si>
  <si>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</si>
  <si>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</si>
  <si>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</si>
  <si>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</si>
  <si>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</si>
  <si>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</si>
  <si>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</si>
  <si>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</si>
  <si>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</si>
  <si>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</si>
  <si>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</si>
  <si>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</si>
  <si>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</si>
  <si>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</si>
  <si>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</si>
  <si>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</si>
  <si>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</si>
  <si>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</si>
  <si>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</si>
  <si>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</si>
  <si>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</si>
  <si>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</si>
  <si>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</si>
  <si>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</si>
  <si>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</si>
  <si>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</si>
  <si>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</si>
  <si>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</si>
  <si>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</si>
  <si>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</si>
  <si>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</si>
  <si>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</si>
  <si>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</si>
  <si>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</si>
  <si>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</si>
  <si>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</si>
  <si>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</si>
  <si>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</si>
  <si>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</si>
  <si>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</si>
  <si>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</si>
  <si>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</si>
  <si>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</si>
  <si>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</si>
  <si>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</si>
  <si>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</si>
  <si>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</si>
  <si>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</si>
  <si>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</si>
  <si>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</si>
  <si>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</si>
  <si>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</si>
  <si>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</si>
  <si>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</si>
  <si>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</si>
  <si>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</si>
  <si>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</si>
  <si>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</si>
  <si>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</si>
  <si>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</si>
  <si>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</si>
  <si>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</si>
  <si>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</si>
  <si>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</si>
  <si>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</si>
  <si>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</si>
  <si>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</si>
  <si>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</si>
  <si>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</si>
  <si>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</si>
  <si>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</si>
  <si>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</si>
  <si>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</si>
  <si>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</si>
  <si>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</si>
  <si>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</si>
  <si>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</si>
  <si>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</si>
  <si>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</si>
  <si>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</si>
  <si>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</si>
  <si>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</si>
  <si>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</si>
  <si>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</si>
  <si>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</si>
  <si>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</si>
  <si>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</si>
  <si>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</si>
  <si>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</si>
  <si>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</si>
  <si>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</si>
  <si>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</si>
  <si>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</si>
  <si>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</si>
  <si>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</si>
  <si>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</si>
  <si>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</si>
  <si>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</si>
  <si>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</si>
  <si>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</si>
  <si>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</si>
  <si>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</si>
  <si>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</si>
  <si>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</si>
  <si>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</si>
  <si>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</si>
  <si>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</si>
  <si>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</si>
  <si>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</si>
  <si>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</si>
  <si>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</si>
  <si>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</si>
  <si>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</si>
  <si>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</si>
  <si>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</si>
  <si>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</si>
  <si>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</si>
  <si>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</si>
  <si>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</si>
  <si>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</si>
  <si>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</si>
  <si>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</si>
  <si>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</si>
  <si>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</si>
  <si>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</si>
  <si>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</si>
  <si>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</si>
  <si>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</si>
  <si>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</si>
  <si>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</si>
  <si>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</si>
  <si>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</si>
  <si>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</si>
  <si>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</si>
  <si>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</si>
  <si>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</si>
  <si>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</si>
  <si>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</si>
  <si>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</si>
  <si>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</si>
  <si>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</si>
  <si>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</si>
  <si>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</si>
  <si>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</si>
  <si>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</si>
  <si>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</si>
  <si>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</si>
  <si>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</si>
  <si>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</si>
  <si>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</si>
  <si>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</si>
  <si>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</si>
  <si>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</si>
  <si>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</si>
  <si>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</si>
  <si>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</si>
  <si>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</si>
  <si>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</si>
  <si>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</si>
  <si>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</si>
  <si>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</si>
  <si>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</si>
  <si>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</si>
  <si>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</si>
  <si>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</si>
  <si>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</si>
  <si>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</si>
  <si>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</si>
  <si>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</si>
  <si>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</si>
  <si>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</si>
  <si>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</si>
  <si>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</si>
  <si>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</si>
  <si>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</si>
  <si>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</si>
  <si>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</si>
  <si>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</si>
  <si>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</si>
  <si>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</si>
  <si>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</si>
  <si>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</si>
  <si>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</si>
  <si>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</si>
  <si>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</si>
  <si>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</si>
  <si>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</si>
  <si>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</si>
  <si>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</si>
  <si>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</si>
  <si>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</si>
  <si>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</si>
  <si>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</si>
  <si>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</si>
  <si>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</si>
  <si>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</si>
  <si>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</si>
  <si>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</si>
  <si>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</si>
  <si>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</si>
  <si>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</si>
  <si>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</si>
  <si>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</si>
  <si>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</si>
  <si>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</si>
  <si>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</si>
  <si>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</si>
  <si>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</si>
  <si>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</si>
  <si>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</si>
  <si>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</si>
  <si>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</si>
  <si>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</si>
  <si>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</si>
  <si>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</si>
  <si>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</si>
  <si>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</si>
  <si>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</si>
  <si>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</si>
  <si>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</si>
  <si>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</si>
  <si>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</si>
  <si>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</si>
  <si>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</si>
  <si>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</si>
  <si>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</si>
  <si>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</si>
  <si>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</si>
  <si>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</si>
  <si>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</si>
  <si>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</si>
  <si>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</si>
  <si>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</si>
  <si>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</si>
  <si>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</si>
  <si>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</si>
  <si>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</si>
  <si>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</si>
  <si>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</si>
  <si>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</si>
  <si>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</si>
  <si>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</si>
  <si>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</si>
  <si>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</si>
  <si>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</si>
  <si>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</si>
  <si>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</si>
  <si>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</si>
  <si>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</si>
  <si>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</si>
  <si>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</si>
  <si>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</si>
  <si>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</si>
  <si>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</si>
  <si>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</si>
  <si>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</si>
  <si>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</si>
  <si>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</si>
  <si>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</si>
  <si>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</si>
  <si>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</si>
  <si>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</si>
  <si>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</si>
  <si>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</si>
  <si>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</si>
  <si>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</si>
  <si>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</si>
  <si>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</si>
  <si>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</si>
  <si>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</si>
  <si>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</si>
  <si>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</si>
  <si>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</si>
  <si>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</si>
  <si>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</si>
  <si>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</si>
  <si>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</si>
  <si>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</si>
  <si>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</si>
  <si>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</si>
  <si>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</si>
  <si>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</si>
  <si>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</si>
  <si>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</si>
  <si>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</si>
  <si>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</si>
  <si>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</si>
  <si>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</si>
  <si>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</si>
  <si>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</si>
  <si>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</si>
  <si>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</si>
  <si>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</si>
  <si>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</si>
  <si>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</si>
  <si>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</si>
  <si>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</si>
  <si>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</si>
  <si>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</si>
  <si>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</si>
  <si>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</si>
  <si>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</si>
  <si>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</si>
  <si>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</si>
  <si>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</si>
  <si>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</si>
  <si>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</si>
  <si>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</si>
  <si>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</si>
  <si>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</si>
  <si>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</si>
  <si>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</si>
  <si>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</si>
  <si>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</si>
  <si>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</si>
  <si>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</si>
  <si>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</si>
  <si>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</si>
  <si>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</si>
  <si>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</si>
  <si>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</si>
  <si>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</si>
  <si>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</si>
  <si>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</si>
  <si>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</si>
  <si>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</si>
  <si>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</si>
  <si>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</si>
  <si>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</si>
  <si>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</si>
  <si>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</si>
  <si>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</si>
  <si>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</si>
  <si>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</si>
  <si>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</si>
  <si>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</si>
  <si>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</si>
  <si>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</si>
  <si>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</si>
  <si>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</si>
  <si>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</si>
  <si>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</si>
  <si>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</si>
  <si>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</si>
  <si>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</si>
  <si>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</si>
  <si>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</si>
  <si>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</si>
  <si>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</si>
  <si>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</si>
  <si>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</si>
  <si>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</si>
  <si>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</si>
  <si>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</si>
  <si>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</si>
  <si>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</si>
  <si>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</si>
  <si>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</si>
  <si>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</si>
  <si>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</si>
  <si>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</si>
  <si>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</si>
  <si>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</si>
  <si>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</si>
  <si>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</si>
  <si>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</si>
  <si>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</si>
  <si>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</si>
  <si>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</si>
  <si>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</si>
  <si>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</si>
  <si>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</si>
  <si>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</si>
  <si>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</si>
  <si>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</si>
  <si>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</si>
  <si>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</si>
  <si>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</si>
  <si>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</si>
  <si>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</si>
  <si>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</si>
  <si>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</si>
  <si>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</si>
  <si>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</si>
  <si>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</si>
  <si>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</si>
  <si>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</si>
  <si>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</si>
  <si>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</si>
  <si>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</si>
  <si>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</si>
  <si>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</si>
  <si>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</si>
  <si>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</si>
  <si>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</si>
  <si>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</si>
  <si>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</si>
  <si>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</si>
  <si>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</si>
  <si>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</si>
  <si>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</si>
  <si>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</si>
  <si>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</si>
  <si>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</si>
  <si>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</si>
  <si>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</si>
  <si>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</si>
  <si>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</si>
  <si>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</si>
  <si>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</si>
  <si>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</si>
  <si>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</si>
  <si>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</si>
  <si>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</si>
  <si>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</si>
  <si>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</si>
  <si>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</si>
  <si>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</si>
  <si>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</si>
  <si>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</si>
  <si>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</si>
  <si>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</si>
  <si>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</si>
  <si>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</si>
  <si>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</si>
  <si>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</si>
  <si>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</si>
  <si>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</si>
  <si>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</si>
  <si>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</si>
  <si>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</si>
  <si>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</si>
  <si>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</si>
  <si>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</si>
  <si>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</si>
  <si>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</si>
  <si>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</si>
  <si>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</si>
  <si>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</si>
  <si>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</si>
  <si>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</si>
  <si>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</si>
  <si>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</si>
  <si>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</si>
  <si>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</si>
  <si>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</si>
  <si>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</si>
  <si>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</si>
  <si>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</si>
  <si>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</si>
  <si>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</si>
  <si>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</si>
  <si>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</si>
  <si>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</si>
  <si>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</si>
  <si>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</si>
  <si>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</si>
  <si>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</si>
  <si>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</si>
  <si>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</si>
  <si>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</si>
  <si>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</si>
  <si>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</si>
  <si>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</si>
  <si>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</si>
  <si>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</si>
  <si>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</si>
  <si>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</si>
  <si>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</si>
  <si>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</si>
  <si>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</si>
  <si>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</si>
  <si>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</si>
  <si>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</si>
  <si>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</si>
  <si>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</si>
  <si>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</si>
  <si>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</si>
  <si>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</si>
  <si>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</si>
  <si>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</si>
  <si>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</si>
  <si>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</si>
  <si>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</si>
  <si>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</si>
  <si>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</si>
  <si>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</si>
  <si>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</si>
  <si>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</si>
  <si>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</si>
  <si>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</si>
  <si>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</si>
  <si>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</si>
  <si>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</si>
  <si>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</si>
  <si>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</si>
  <si>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</si>
  <si>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</si>
  <si>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</si>
  <si>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</si>
  <si>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</si>
  <si>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</si>
  <si>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</si>
  <si>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</si>
  <si>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</si>
  <si>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</si>
  <si>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</si>
  <si>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</si>
  <si>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</si>
  <si>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</si>
  <si>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</si>
  <si>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</si>
  <si>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</si>
  <si>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</si>
  <si>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</si>
  <si>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</si>
  <si>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</si>
  <si>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</si>
  <si>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</si>
  <si>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</si>
  <si>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</si>
  <si>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</si>
  <si>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</si>
  <si>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</si>
  <si>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</si>
  <si>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</si>
  <si>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</si>
  <si>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</si>
  <si>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</si>
  <si>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</si>
  <si>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</si>
  <si>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</si>
  <si>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</si>
  <si>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</si>
  <si>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</si>
  <si>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</si>
  <si>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</si>
  <si>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</si>
  <si>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</si>
  <si>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</si>
  <si>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</si>
  <si>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</si>
  <si>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</si>
  <si>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</si>
  <si>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</si>
  <si>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</si>
  <si>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</si>
  <si>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</si>
  <si>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</si>
  <si>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</si>
  <si>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</si>
  <si>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</si>
  <si>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</si>
  <si>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</si>
  <si>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</si>
  <si>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</si>
  <si>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</si>
  <si>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</si>
  <si>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</si>
  <si>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</si>
  <si>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</si>
  <si>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</si>
  <si>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</si>
  <si>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</si>
  <si>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</si>
  <si>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</si>
  <si>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</si>
  <si>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</si>
  <si>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</si>
  <si>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</si>
  <si>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</si>
  <si>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</si>
  <si>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</si>
  <si>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</si>
  <si>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</si>
  <si>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</si>
  <si>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</si>
  <si>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</si>
  <si>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</si>
  <si>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</si>
  <si>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</si>
  <si>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</si>
  <si>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</si>
  <si>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</si>
  <si>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</si>
  <si>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</si>
  <si>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</si>
  <si>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</si>
  <si>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</si>
  <si>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</si>
  <si>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</si>
  <si>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</si>
  <si>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</si>
  <si>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</si>
  <si>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</si>
  <si>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</si>
  <si>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</si>
  <si>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</si>
  <si>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</si>
  <si>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</si>
  <si>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</si>
  <si>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</si>
  <si>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</si>
  <si>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</si>
  <si>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</si>
  <si>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</si>
  <si>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</si>
  <si>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</si>
  <si>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</si>
  <si>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</si>
  <si>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</si>
  <si>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</si>
  <si>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</si>
  <si>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</si>
  <si>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</si>
  <si>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</si>
  <si>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</si>
  <si>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</si>
  <si>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</si>
  <si>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</si>
  <si>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</si>
  <si>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</si>
  <si>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</si>
  <si>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</si>
  <si>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</si>
  <si>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</si>
  <si>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</si>
  <si>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</si>
  <si>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</si>
  <si>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</si>
  <si>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</si>
  <si>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</si>
  <si>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</si>
  <si>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</si>
  <si>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</si>
  <si>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</si>
  <si>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</si>
  <si>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</si>
  <si>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</si>
  <si>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</si>
  <si>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</si>
  <si>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</si>
  <si>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</si>
  <si>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</si>
  <si>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</si>
  <si>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</si>
  <si>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</si>
  <si>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</si>
  <si>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</si>
  <si>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</si>
  <si>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</si>
  <si>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</si>
  <si>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</si>
  <si>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</si>
  <si>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</si>
  <si>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</si>
  <si>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</si>
  <si>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</si>
  <si>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</si>
  <si>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</si>
  <si>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</si>
  <si>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</si>
  <si>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</si>
  <si>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</si>
  <si>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</si>
  <si>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</si>
  <si>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</si>
  <si>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</si>
  <si>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</si>
  <si>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</si>
  <si>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</si>
  <si>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</si>
  <si>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</si>
  <si>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</si>
  <si>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</si>
  <si>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</si>
  <si>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</si>
  <si>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</si>
  <si>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</si>
  <si>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</si>
  <si>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</si>
  <si>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</si>
  <si>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</si>
  <si>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</si>
  <si>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</si>
  <si>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</si>
  <si>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</si>
  <si>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</si>
  <si>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</si>
  <si>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</si>
  <si>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</si>
  <si>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</si>
  <si>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</si>
  <si>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</si>
  <si>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</si>
  <si>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</si>
  <si>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</si>
  <si>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</si>
  <si>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</si>
  <si>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</si>
  <si>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</si>
  <si>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</si>
  <si>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</si>
  <si>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</si>
  <si>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</si>
  <si>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</si>
  <si>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</si>
  <si>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</si>
  <si>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</si>
  <si>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</si>
  <si>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</si>
  <si>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</si>
  <si>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</si>
  <si>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</si>
  <si>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</si>
  <si>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</si>
  <si>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</si>
  <si>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</si>
  <si>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</si>
  <si>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</si>
  <si>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</si>
  <si>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</si>
  <si>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</si>
  <si>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</si>
  <si>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</si>
  <si>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</si>
  <si>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</si>
  <si>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</si>
  <si>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</si>
  <si>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</si>
  <si>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</si>
  <si>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</si>
  <si>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</si>
  <si>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</si>
  <si>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</si>
  <si>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</si>
  <si>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</si>
  <si>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</si>
  <si>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</si>
  <si>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</si>
  <si>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</si>
  <si>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</si>
  <si>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</si>
  <si>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</si>
  <si>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</si>
  <si>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</si>
  <si>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</si>
  <si>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</si>
  <si>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</si>
  <si>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</si>
  <si>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</si>
  <si>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</si>
  <si>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</si>
  <si>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</si>
  <si>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</si>
  <si>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</si>
  <si>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</si>
  <si>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</si>
  <si>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</si>
  <si>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</si>
  <si>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</si>
  <si>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</si>
  <si>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</si>
  <si>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</si>
  <si>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</si>
  <si>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</si>
  <si>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</si>
  <si>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</si>
  <si>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</si>
  <si>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</si>
  <si>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</si>
  <si>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</si>
  <si>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</si>
  <si>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</si>
  <si>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</si>
  <si>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</si>
  <si>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</si>
  <si>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</si>
  <si>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</si>
  <si>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</si>
  <si>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</si>
  <si>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</si>
  <si>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</si>
  <si>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</si>
  <si>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</si>
  <si>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</si>
  <si>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</si>
  <si>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</si>
  <si>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</si>
  <si>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</si>
  <si>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</si>
  <si>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</si>
  <si>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</si>
  <si>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</si>
  <si>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</si>
  <si>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</si>
  <si>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</si>
  <si>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</si>
  <si>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</si>
  <si>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</si>
  <si>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</si>
  <si>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</si>
  <si>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</si>
  <si>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</si>
  <si>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</si>
  <si>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</si>
  <si>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</si>
  <si>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</si>
  <si>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</si>
  <si>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</si>
  <si>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</si>
  <si>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</si>
  <si>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</si>
  <si>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</si>
  <si>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</si>
  <si>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</si>
  <si>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</si>
  <si>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</si>
  <si>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</si>
  <si>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</si>
  <si>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</si>
  <si>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</si>
  <si>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</si>
  <si>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</si>
  <si>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</si>
  <si>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</si>
  <si>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</si>
  <si>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</si>
  <si>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</si>
  <si>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</si>
  <si>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</si>
  <si>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</si>
  <si>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</si>
  <si>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</si>
  <si>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</si>
  <si>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</si>
  <si>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</si>
  <si>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</si>
  <si>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</si>
  <si>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</si>
  <si>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</si>
  <si>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</si>
  <si>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</si>
  <si>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</si>
  <si>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</si>
  <si>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</si>
  <si>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</si>
  <si>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</si>
  <si>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</si>
  <si>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</si>
  <si>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</si>
  <si>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</si>
  <si>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</si>
  <si>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</si>
  <si>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</si>
  <si>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</si>
  <si>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</si>
  <si>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</si>
  <si>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</si>
  <si>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</si>
  <si>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</si>
  <si>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</si>
  <si>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</si>
  <si>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</si>
  <si>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</si>
  <si>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</si>
  <si>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</si>
  <si>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</si>
  <si>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</si>
  <si>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</si>
  <si>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</si>
  <si>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</si>
  <si>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</si>
  <si>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</si>
  <si>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</si>
  <si>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</si>
  <si>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</si>
  <si>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</si>
  <si>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</si>
  <si>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</si>
  <si>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</si>
  <si>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</si>
  <si>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</si>
  <si>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</si>
  <si>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</si>
  <si>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</si>
  <si>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</si>
  <si>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</si>
  <si>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</si>
  <si>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</si>
  <si>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</si>
  <si>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</si>
  <si>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</si>
  <si>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</si>
  <si>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</si>
  <si>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</si>
  <si>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</si>
  <si>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</si>
  <si>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</si>
  <si>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</si>
  <si>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</si>
  <si>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</si>
  <si>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</si>
  <si>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</si>
  <si>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</si>
  <si>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</si>
  <si>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</si>
  <si>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</si>
  <si>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</si>
  <si>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</si>
  <si>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</si>
  <si>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</si>
  <si>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</si>
  <si>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</si>
  <si>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</si>
  <si>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</si>
  <si>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</si>
  <si>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</si>
  <si>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</si>
  <si>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</si>
  <si>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</si>
  <si>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</si>
  <si>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</si>
  <si>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</si>
  <si>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</si>
  <si>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</si>
  <si>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</si>
  <si>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</si>
  <si>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</si>
  <si>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</si>
  <si>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</si>
  <si>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</si>
  <si>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</si>
  <si>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</si>
  <si>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</si>
  <si>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</si>
  <si>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</si>
  <si>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</si>
  <si>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</si>
  <si>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</si>
  <si>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</si>
  <si>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</si>
  <si>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</si>
  <si>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</si>
  <si>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</si>
  <si>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</si>
  <si>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</si>
  <si>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</si>
  <si>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</si>
  <si>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</si>
  <si>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</si>
  <si>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</si>
  <si>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</si>
  <si>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</si>
  <si>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</si>
  <si>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</si>
  <si>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</si>
  <si>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</si>
  <si>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</si>
  <si>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</si>
  <si>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</si>
  <si>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</si>
  <si>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</si>
  <si>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</si>
  <si>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</si>
  <si>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</si>
  <si>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</si>
  <si>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</si>
  <si>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</si>
  <si>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</si>
  <si>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</si>
  <si>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</si>
  <si>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</si>
  <si>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</si>
  <si>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</si>
  <si>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</si>
  <si>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</si>
  <si>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</si>
  <si>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</si>
  <si>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</si>
  <si>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</si>
  <si>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</si>
  <si>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</si>
  <si>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</si>
  <si>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</si>
  <si>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</si>
  <si>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</si>
  <si>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</si>
  <si>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</si>
  <si>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</si>
  <si>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</si>
  <si>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</si>
  <si>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</si>
  <si>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</si>
  <si>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</si>
  <si>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</si>
  <si>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</si>
  <si>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</si>
  <si>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</si>
  <si>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</si>
  <si>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</si>
  <si>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</si>
  <si>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</si>
  <si>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</si>
  <si>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</si>
  <si>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</si>
  <si>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</si>
  <si>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</si>
  <si>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</si>
  <si>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</si>
  <si>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</si>
  <si>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</si>
  <si>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</si>
  <si>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</si>
  <si>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</si>
  <si>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</si>
  <si>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</si>
  <si>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</si>
  <si>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</si>
  <si>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</si>
  <si>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</si>
  <si>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</si>
  <si>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</si>
  <si>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</si>
  <si>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</si>
  <si>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</si>
  <si>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</si>
  <si>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</si>
  <si>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</si>
  <si>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</si>
  <si>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</si>
  <si>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</si>
  <si>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</si>
  <si>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</si>
  <si>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</si>
  <si>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</si>
  <si>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</si>
  <si>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</si>
  <si>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</si>
  <si>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</si>
  <si>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</si>
  <si>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</si>
  <si>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</si>
  <si>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</si>
  <si>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</si>
  <si>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</si>
  <si>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</si>
  <si>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</si>
  <si>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</si>
  <si>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</si>
  <si>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</si>
  <si>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</si>
  <si>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</si>
  <si>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</si>
  <si>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</si>
  <si>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</si>
  <si>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</si>
  <si>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</si>
  <si>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</si>
  <si>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</si>
  <si>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</si>
  <si>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</si>
  <si>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</si>
  <si>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</si>
  <si>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</si>
  <si>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</si>
  <si>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</si>
  <si>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</si>
  <si>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</si>
  <si>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</si>
  <si>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</si>
  <si>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</si>
  <si>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</si>
  <si>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</si>
  <si>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</si>
  <si>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</si>
  <si>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</si>
  <si>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</si>
  <si>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</si>
  <si>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</si>
  <si>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</si>
  <si>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</si>
  <si>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</si>
  <si>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</si>
  <si>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</si>
  <si>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</si>
  <si>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</si>
  <si>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</si>
  <si>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</si>
  <si>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</si>
  <si>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</si>
  <si>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</si>
  <si>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</si>
  <si>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</si>
  <si>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</si>
  <si>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</si>
  <si>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</si>
  <si>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</si>
  <si>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</si>
  <si>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</si>
  <si>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</si>
  <si>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</si>
  <si>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</si>
  <si>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</si>
  <si>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</si>
  <si>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</si>
  <si>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</si>
  <si>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</si>
  <si>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</si>
  <si>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</si>
  <si>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</si>
  <si>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</si>
  <si>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</si>
  <si>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</si>
  <si>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</si>
  <si>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</si>
  <si>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</si>
  <si>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</si>
  <si>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</si>
  <si>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</si>
  <si>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</si>
  <si>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</si>
  <si>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</si>
  <si>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</si>
  <si>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</si>
  <si>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</si>
  <si>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</si>
  <si>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</si>
  <si>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</si>
  <si>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</si>
  <si>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</si>
  <si>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</si>
  <si>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</si>
  <si>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</si>
  <si>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</si>
  <si>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</si>
  <si>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</si>
  <si>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</si>
  <si>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</si>
  <si>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</si>
  <si>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</si>
  <si>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</si>
  <si>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</si>
  <si>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</si>
  <si>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</si>
  <si>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</si>
  <si>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</si>
  <si>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</si>
  <si>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</si>
  <si>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</si>
  <si>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</si>
  <si>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</si>
  <si>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</si>
  <si>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</si>
  <si>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</si>
  <si>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</si>
  <si>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</si>
  <si>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</si>
  <si>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</si>
  <si>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</si>
  <si>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</si>
  <si>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</si>
  <si>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</si>
  <si>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</si>
  <si>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</si>
  <si>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</si>
  <si>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</si>
  <si>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</si>
  <si>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</si>
  <si>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</si>
  <si>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</si>
  <si>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</si>
  <si>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</si>
  <si>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</si>
  <si>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</si>
  <si>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</si>
  <si>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</si>
  <si>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</si>
  <si>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</si>
  <si>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</si>
  <si>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</si>
  <si>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</si>
  <si>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</si>
  <si>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</si>
  <si>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</si>
  <si>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</si>
  <si>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</si>
  <si>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</si>
  <si>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</si>
  <si>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</si>
  <si>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</si>
  <si>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</si>
  <si>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</si>
  <si>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</si>
  <si>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</si>
  <si>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</si>
  <si>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</si>
  <si>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</si>
  <si>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</si>
  <si>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</si>
  <si>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</si>
  <si>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</si>
  <si>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</si>
  <si>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</si>
  <si>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</si>
  <si>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</si>
  <si>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</si>
  <si>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</si>
  <si>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</si>
  <si>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</si>
  <si>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</si>
  <si>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</si>
  <si>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</si>
  <si>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</si>
  <si>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</si>
  <si>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</si>
  <si>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</si>
  <si>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</si>
  <si>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</si>
  <si>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</si>
  <si>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</si>
  <si>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</si>
  <si>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</si>
  <si>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</si>
  <si>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</si>
  <si>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</si>
  <si>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</si>
  <si>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</si>
  <si>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</si>
  <si>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</si>
  <si>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</si>
  <si>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</si>
  <si>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</si>
  <si>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</si>
  <si>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</si>
  <si>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</si>
  <si>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</si>
  <si>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</si>
  <si>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</si>
  <si>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</si>
  <si>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</si>
  <si>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</si>
  <si>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</si>
  <si>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</si>
  <si>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</si>
  <si>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</si>
  <si>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</si>
  <si>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</si>
  <si>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</si>
  <si>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</si>
  <si>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</si>
  <si>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</si>
  <si>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</si>
  <si>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</si>
  <si>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</si>
  <si>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</si>
  <si>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</si>
  <si>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</si>
  <si>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</si>
  <si>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</si>
  <si>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</si>
  <si>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</si>
  <si>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</si>
  <si>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</si>
  <si>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</si>
  <si>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</si>
  <si>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</si>
  <si>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</si>
  <si>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</si>
  <si>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</si>
  <si>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</si>
  <si>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</si>
  <si>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</si>
  <si>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</si>
  <si>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</si>
  <si>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</si>
  <si>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</si>
  <si>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</si>
  <si>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</si>
  <si>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</si>
  <si>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</si>
  <si>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</si>
  <si>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</si>
  <si>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</si>
  <si>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</si>
  <si>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</si>
  <si>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</si>
  <si>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</si>
  <si>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</si>
  <si>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</si>
  <si>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</si>
  <si>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</si>
  <si>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</si>
  <si>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</si>
  <si>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</si>
  <si>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</si>
  <si>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</si>
  <si>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</si>
  <si>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</si>
  <si>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</si>
  <si>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</si>
  <si>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</si>
  <si>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</si>
  <si>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</si>
  <si>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</si>
  <si>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</si>
  <si>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</si>
  <si>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</si>
  <si>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</si>
  <si>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</si>
  <si>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</si>
  <si>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</si>
  <si>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</si>
  <si>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</si>
  <si>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</si>
  <si>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</si>
  <si>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</si>
  <si>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</si>
  <si>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</si>
  <si>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</si>
  <si>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</si>
  <si>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</si>
  <si>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</si>
  <si>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</si>
  <si>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</si>
  <si>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</si>
  <si>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</si>
  <si>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</si>
  <si>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</si>
  <si>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</si>
  <si>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</si>
  <si>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</si>
  <si>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</si>
  <si>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</si>
  <si>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</si>
  <si>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</si>
  <si>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</si>
  <si>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</si>
  <si>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</si>
  <si>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</si>
  <si>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</si>
  <si>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</si>
  <si>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</si>
  <si>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</si>
  <si>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</si>
  <si>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</si>
  <si>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</si>
  <si>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</si>
  <si>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</si>
  <si>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</si>
  <si>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</si>
  <si>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</si>
  <si>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</si>
  <si>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</si>
  <si>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</si>
  <si>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</si>
  <si>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</si>
  <si>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</si>
  <si>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</si>
  <si>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</si>
  <si>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</si>
  <si>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</si>
  <si>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</si>
  <si>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</si>
  <si>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</si>
  <si>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</si>
  <si>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</si>
  <si>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</si>
  <si>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</si>
  <si>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</si>
  <si>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</si>
  <si>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</si>
  <si>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</si>
  <si>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</si>
  <si>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</si>
  <si>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</si>
  <si>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</si>
  <si>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</si>
  <si>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</si>
  <si>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</si>
  <si>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</si>
  <si>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</si>
  <si>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</si>
  <si>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</si>
  <si>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</si>
  <si>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</si>
  <si>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</si>
  <si>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</si>
  <si>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</si>
  <si>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</si>
  <si>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</si>
  <si>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</si>
  <si>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</si>
  <si>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</si>
  <si>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</si>
  <si>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</si>
  <si>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</si>
  <si>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</si>
  <si>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</si>
  <si>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</si>
  <si>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</si>
  <si>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</si>
  <si>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</si>
  <si>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</si>
  <si>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</si>
  <si>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</si>
  <si>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</si>
  <si>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</si>
  <si>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</si>
  <si>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</si>
  <si>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</si>
  <si>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</si>
  <si>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</si>
  <si>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</si>
  <si>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</si>
  <si>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</si>
  <si>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</si>
  <si>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</si>
  <si>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</si>
  <si>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</si>
  <si>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</si>
  <si>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</si>
  <si>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</si>
  <si>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</si>
  <si>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The Process</t>
  </si>
  <si>
    <t>Step</t>
  </si>
  <si>
    <t>Description</t>
  </si>
  <si>
    <t xml:space="preserve">So I received the data </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</si>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</sst>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44" formatCode="_(&quot;$&quot;* #,##0.00_);_(&quot;$&quot;* \(#,##0.00\);_(&quot;$&quot;* &quot;-&quot;??_);_(@_)"/>
    <numFmt numFmtId="164" formatCode="0.0"/>
    <numFmt numFmtId="165" formatCode="dd\-mmm\-yyyy"/>
    <numFmt numFmtId="166" formatCode="0.0\ &quot;kg&quot;"/>
  </numFmts>
  <fonts count="5"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4"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0" fontId="2" fillId="0" borderId="0" xfId="0" applyFont="1"/>
    <xf numFmtId="0" fontId="3" fillId="0" borderId="0" xfId="0" applyFont="1" applyAlignment="1">
      <alignment vertical="center"/>
    </xf>
    <xf numFmtId="0" fontId="0" fillId="0" borderId="0" xfId="0" applyAlignment="1">
      <alignment wrapText="1"/>
    </xf>
    <xf numFmtId="0" fontId="2" fillId="0" borderId="1" xfId="0" applyFont="1" applyBorder="1" applyAlignment="1">
      <alignment horizontal="center" vertical="center" wrapText="1"/>
    </xf>
    <xf numFmtId="0" fontId="0" fillId="0" borderId="0" xfId="0" applyAlignment="1">
      <alignment horizontal="center" vertical="center" wrapText="1"/>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0" fontId="2" fillId="0" borderId="1" xfId="0" applyFont="1" applyBorder="1" applyAlignment="1">
      <alignment horizontal="center" wrapText="1"/>
    </xf>
    <xf numFmtId="37" fontId="0" fillId="0" borderId="0" xfId="0" applyNumberFormat="1"/>
    <xf numFmtId="5" fontId="0" fillId="0" borderId="0" xfId="0" applyNumberFormat="1"/>
  </cellXfs>
  <cellStyles count="2">
    <cellStyle name="Currency" xfId="1" builtinId="4"/>
    <cellStyle name="Normal" xfId="0" builtinId="0"/>
  </cellStyles>
  <dxfs count="16">
    <dxf>
      <font>
        <b/>
        <i val="0"/>
        <color theme="0"/>
        <name val="Calibri"/>
        <family val="2"/>
        <scheme val="minor"/>
      </font>
    </dxf>
    <dxf>
      <font>
        <b/>
        <i val="0"/>
        <sz val="10"/>
        <color theme="0"/>
        <name val="Calibri"/>
        <family val="2"/>
        <scheme val="minor"/>
      </font>
      <fill>
        <patternFill patternType="solid">
          <bgColor rgb="FF7030A0"/>
        </patternFill>
      </fill>
    </dxf>
    <dxf>
      <numFmt numFmtId="0" formatCode="General"/>
    </dxf>
    <dxf>
      <font>
        <b/>
        <i val="0"/>
        <sz val="11"/>
        <color theme="0"/>
        <name val="Calibri"/>
        <family val="2"/>
        <scheme val="minor"/>
      </font>
    </dxf>
    <dxf>
      <font>
        <b/>
        <i val="0"/>
        <sz val="11"/>
        <color theme="0"/>
        <name val="Calibri"/>
        <family val="2"/>
        <scheme val="minor"/>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9" xr9:uid="{5D6266E4-D840-408B-B021-4D8D9F9900A7}">
      <tableStyleElement type="wholeTable" dxfId="1"/>
      <tableStyleElement type="headerRow" dxfId="0"/>
    </tableStyle>
    <tableStyle name="Purple Timeline Style" pivot="0" table="0" count="8" xr9:uid="{167DABC7-5A7D-4CC2-BB37-BC69A1E43F82}">
      <tableStyleElement type="wholeTable" dxfId="4"/>
      <tableStyleElement type="headerRow" dxfId="3"/>
    </tableStyle>
  </tableStyles>
  <colors>
    <mruColors>
      <color rgb="FFCC99FF"/>
      <color rgb="FFD9C0F2"/>
    </mruColors>
  </colors>
  <extLst>
    <ext xmlns:x14="http://schemas.microsoft.com/office/spreadsheetml/2009/9/main" uri="{46F421CA-312F-682f-3DD2-61675219B42D}">
      <x14:dxfs count="7">
        <dxf>
          <font>
            <b val="0"/>
            <i val="0"/>
            <color theme="0"/>
            <name val="Calibri"/>
            <family val="2"/>
            <scheme val="minor"/>
          </font>
        </dxf>
        <dxf>
          <font>
            <b val="0"/>
            <i val="0"/>
            <color theme="0"/>
            <name val="Calibri"/>
            <family val="2"/>
            <scheme val="minor"/>
          </font>
        </dxf>
        <dxf>
          <font>
            <b val="0"/>
            <i val="0"/>
            <color theme="0"/>
            <name val="Calibri"/>
            <family val="2"/>
            <scheme val="minor"/>
          </font>
        </dxf>
        <dxf>
          <font>
            <b/>
            <i val="0"/>
            <color theme="0"/>
            <name val="Calibri"/>
            <family val="2"/>
            <scheme val="minor"/>
          </font>
        </dxf>
        <dxf>
          <font>
            <b/>
            <i val="0"/>
            <color auto="1"/>
            <name val="Calibri"/>
            <family val="2"/>
            <scheme val="minor"/>
          </font>
        </dxf>
        <dxf>
          <font>
            <b val="0"/>
            <i val="0"/>
            <color theme="0"/>
            <name val="Calibri"/>
            <family val="2"/>
            <scheme val="minor"/>
          </font>
        </dxf>
        <dxf>
          <font>
            <b val="0"/>
            <i val="0"/>
            <color theme="0" tint="-4.9989318521683403E-2"/>
            <name val="Calibri"/>
            <family val="2"/>
            <scheme val="minor"/>
          </font>
        </dxf>
      </x14:dxfs>
    </ext>
    <ext xmlns:x14="http://schemas.microsoft.com/office/spreadsheetml/2009/9/main" uri="{EB79DEF2-80B8-43e5-95BD-54CBDDF9020C}">
      <x14:slicerStyles defaultSlicerStyle="SlicerStyleLight1">
        <x14:slicerStyle name="Purple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CC99FF"/>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[Chauncey's coffeeOrdersData.xlsx]Country!TotalSales</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Country!$B$3</c:f>
              <c:strCache>
                <c:ptCount val="1"/>
                <c:pt idx="0">
                  <c:v>Total</c:v>
                </c:pt>
              </c:strCache>
            </c:strRef>
          </c:tx>
          <c:spPr>
            <a:solidFill>
              <a:srgbClr val="92D050"/>
            </a:solidFill>
            <a:ln w="254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Country!$A$4:$A$7</c:f>
              <c:strCache>
                <c:ptCount val="3"/>
                <c:pt idx="0">
                  <c:v>United Kingdom</c:v>
                </c:pt>
                <c:pt idx="1">
                  <c:v>Ireland</c:v>
                </c:pt>
                <c:pt idx="2">
                  <c:v>United States</c:v>
                </c:pt>
              </c:strCache>
            </c:strRef>
          </c:cat>
          <c:val>
            <c:numRef>
              <c:f>Country!$B$4:$B$7</c:f>
              <c:numCache>
                <c:formatCode>"$"#,##0_);\("$"#,##0\)</c:formatCode>
                <c:ptCount val="3"/>
                <c:pt idx="0">
                  <c:v>886.12000000000012</c:v>
                </c:pt>
                <c:pt idx="1">
                  <c:v>3566.9400000000005</c:v>
                </c:pt>
                <c:pt idx="2">
                  <c:v>16464.789999999994</c:v>
                </c:pt>
              </c:numCache>
            </c:numRef>
          </c:val>
          <c:extLst>
            <c:ext xmlns:c16="http://schemas.microsoft.com/office/drawing/2014/chart" uri="{C3380CC4-5D6E-409C-BE32-E72D297353CC}">
              <c16:uniqueId val="{00000000-EF61-459A-8E8F-521AD1A161C9}"/>
            </c:ext>
          </c:extLst>
        </c:ser>
        <c:dLbls>
          <c:showLegendKey val="0"/>
          <c:showVal val="0"/>
          <c:showCatName val="0"/>
          <c:showSerName val="0"/>
          <c:showPercent val="0"/>
          <c:showBubbleSize val="0"/>
        </c:dLbls>
        <c:gapWidth val="182"/>
        <c:axId val="156999359"/>
        <c:axId val="156999839"/>
      </c:barChart>
      <c:catAx>
        <c:axId val="15699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9839"/>
        <c:crosses val="autoZero"/>
        <c:auto val="1"/>
        <c:lblAlgn val="ctr"/>
        <c:lblOffset val="100"/>
        <c:noMultiLvlLbl val="0"/>
      </c:catAx>
      <c:valAx>
        <c:axId val="1569998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[Chauncey's coffeeOrdersData.xlsx]TopCustomers!TotalSales</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TopCustomers!$B$3</c:f>
              <c:strCache>
                <c:ptCount val="1"/>
                <c:pt idx="0">
                  <c:v>Total</c:v>
                </c:pt>
              </c:strCache>
            </c:strRef>
          </c:tx>
          <c:spPr>
            <a:solidFill>
              <a:srgbClr val="92D050"/>
            </a:solidFill>
            <a:ln w="254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TopCustomers!$A$4:$A$9</c:f>
              <c:strCache>
                <c:ptCount val="5"/>
                <c:pt idx="0">
                  <c:v>Elysee Sketch</c:v>
                </c:pt>
                <c:pt idx="1">
                  <c:v>Lacee Tanti</c:v>
                </c:pt>
                <c:pt idx="2">
                  <c:v>Ailey Brash</c:v>
                </c:pt>
                <c:pt idx="3">
                  <c:v>Brice Romera</c:v>
                </c:pt>
                <c:pt idx="4">
                  <c:v>Brenn Dundredge</c:v>
                </c:pt>
              </c:strCache>
            </c:strRef>
          </c:cat>
          <c:val>
            <c:numRef>
              <c:f>TopCustomers!$B$4:$B$9</c:f>
              <c:numCache>
                <c:formatCode>"$"#,##0_);\("$"#,##0\)</c:formatCode>
                <c:ptCount val="5"/>
                <c:pt idx="0">
                  <c:v>204.92999999999995</c:v>
                </c:pt>
                <c:pt idx="1">
                  <c:v>204.92999999999995</c:v>
                </c:pt>
                <c:pt idx="2">
                  <c:v>206.59999999999997</c:v>
                </c:pt>
                <c:pt idx="3">
                  <c:v>246.20999999999998</c:v>
                </c:pt>
                <c:pt idx="4">
                  <c:v>307.04499999999996</c:v>
                </c:pt>
              </c:numCache>
            </c:numRef>
          </c:val>
          <c:extLst>
            <c:ext xmlns:c16="http://schemas.microsoft.com/office/drawing/2014/chart" uri="{C3380CC4-5D6E-409C-BE32-E72D297353CC}">
              <c16:uniqueId val="{00000000-1AB8-46AB-80D4-78FDFD123BFF}"/>
            </c:ext>
          </c:extLst>
        </c:ser>
        <c:dLbls>
          <c:showLegendKey val="0"/>
          <c:showVal val="0"/>
          <c:showCatName val="0"/>
          <c:showSerName val="0"/>
          <c:showPercent val="0"/>
          <c:showBubbleSize val="0"/>
        </c:dLbls>
        <c:gapWidth val="182"/>
        <c:axId val="156999359"/>
        <c:axId val="156999839"/>
      </c:barChart>
      <c:catAx>
        <c:axId val="15699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9839"/>
        <c:crosses val="autoZero"/>
        <c:auto val="1"/>
        <c:lblAlgn val="ctr"/>
        <c:lblOffset val="100"/>
        <c:noMultiLvlLbl val="0"/>
      </c:catAx>
      <c:valAx>
        <c:axId val="1569998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[Chauncey's coffeeOrdersData.xlsx]TotalSales!TotalSales</c:name>
    <c:fmtId val="8"/>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#,##0_);\(#,##0\)</c:formatCode>
                <c:ptCount val="44"/>
                <c:pt idx="1">
                  <c:v>162.125</c:v>
                </c:pt>
                <c:pt idx="3">
                  <c:v>242.36999999999998</c:v>
                </c:pt>
                <c:pt idx="5">
                  <c:v>163.01999999999998</c:v>
                </c:pt>
                <c:pt idx="6">
                  <c:v>175.06999999999996</c:v>
                </c:pt>
                <c:pt idx="7">
                  <c:v>121.21499999999997</c:v>
                </c:pt>
                <c:pt idx="9">
                  <c:v>114.00999999999999</c:v>
                </c:pt>
                <c:pt idx="10">
                  <c:v>245.33499999999998</c:v>
                </c:pt>
                <c:pt idx="11">
                  <c:v>17.384999999999998</c:v>
                </c:pt>
                <c:pt idx="12">
                  <c:v>47.25</c:v>
                </c:pt>
                <c:pt idx="13">
                  <c:v>5.97</c:v>
                </c:pt>
                <c:pt idx="14">
                  <c:v>63.81</c:v>
                </c:pt>
                <c:pt idx="16">
                  <c:v>215.31499999999997</c:v>
                </c:pt>
                <c:pt idx="17">
                  <c:v>240.74999999999997</c:v>
                </c:pt>
                <c:pt idx="18">
                  <c:v>351.14999999999992</c:v>
                </c:pt>
                <c:pt idx="20">
                  <c:v>24.66</c:v>
                </c:pt>
                <c:pt idx="21">
                  <c:v>278.15499999999997</c:v>
                </c:pt>
                <c:pt idx="22">
                  <c:v>349.94499999999994</c:v>
                </c:pt>
                <c:pt idx="23">
                  <c:v>71.98</c:v>
                </c:pt>
                <c:pt idx="24">
                  <c:v>151.875</c:v>
                </c:pt>
                <c:pt idx="25">
                  <c:v>172.2</c:v>
                </c:pt>
                <c:pt idx="26">
                  <c:v>225.89999999999998</c:v>
                </c:pt>
                <c:pt idx="27">
                  <c:v>39.42</c:v>
                </c:pt>
                <c:pt idx="28">
                  <c:v>91.5</c:v>
                </c:pt>
                <c:pt idx="29">
                  <c:v>150.68499999999997</c:v>
                </c:pt>
                <c:pt idx="31">
                  <c:v>168.10499999999999</c:v>
                </c:pt>
                <c:pt idx="32">
                  <c:v>173.41499999999999</c:v>
                </c:pt>
                <c:pt idx="33">
                  <c:v>56.07</c:v>
                </c:pt>
                <c:pt idx="34">
                  <c:v>260.01</c:v>
                </c:pt>
                <c:pt idx="35">
                  <c:v>197.61499999999998</c:v>
                </c:pt>
                <c:pt idx="36">
                  <c:v>82.634999999999991</c:v>
                </c:pt>
                <c:pt idx="37">
                  <c:v>65.67</c:v>
                </c:pt>
                <c:pt idx="38">
                  <c:v>232.76</c:v>
                </c:pt>
                <c:pt idx="39">
                  <c:v>190.125</c:v>
                </c:pt>
                <c:pt idx="40">
                  <c:v>92.389999999999986</c:v>
                </c:pt>
                <c:pt idx="41">
                  <c:v>47.76</c:v>
                </c:pt>
                <c:pt idx="42">
                  <c:v>81.534999999999997</c:v>
                </c:pt>
                <c:pt idx="43">
                  <c:v>29.784999999999997</c:v>
                </c:pt>
              </c:numCache>
            </c:numRef>
          </c:val>
          <c:smooth val="0"/>
          <c:extLst>
            <c:ext xmlns:c16="http://schemas.microsoft.com/office/drawing/2014/chart" uri="{C3380CC4-5D6E-409C-BE32-E72D297353CC}">
              <c16:uniqueId val="{00000000-98F7-4BCA-8359-FE6401DF7FCB}"/>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#,##0_);\(#,##0\)</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321.58499999999992</c:v>
                </c:pt>
                <c:pt idx="12">
                  <c:v>10.935</c:v>
                </c:pt>
                <c:pt idx="13">
                  <c:v>94.55</c:v>
                </c:pt>
                <c:pt idx="14">
                  <c:v>186.03</c:v>
                </c:pt>
                <c:pt idx="15">
                  <c:v>269.49999999999994</c:v>
                </c:pt>
                <c:pt idx="16">
                  <c:v>296.05500000000001</c:v>
                </c:pt>
                <c:pt idx="17">
                  <c:v>165.71499999999997</c:v>
                </c:pt>
                <c:pt idx="18">
                  <c:v>117.425</c:v>
                </c:pt>
                <c:pt idx="21">
                  <c:v>366.58499999999998</c:v>
                </c:pt>
                <c:pt idx="22">
                  <c:v>142.56</c:v>
                </c:pt>
                <c:pt idx="23">
                  <c:v>130.08499999999998</c:v>
                </c:pt>
                <c:pt idx="24">
                  <c:v>127.47499999999999</c:v>
                </c:pt>
                <c:pt idx="25">
                  <c:v>235.65</c:v>
                </c:pt>
                <c:pt idx="26">
                  <c:v>160.73999999999998</c:v>
                </c:pt>
                <c:pt idx="27">
                  <c:v>233.23</c:v>
                </c:pt>
                <c:pt idx="28">
                  <c:v>38.370000000000005</c:v>
                </c:pt>
                <c:pt idx="29">
                  <c:v>123.83000000000001</c:v>
                </c:pt>
                <c:pt idx="30">
                  <c:v>268.87499999999994</c:v>
                </c:pt>
                <c:pt idx="31">
                  <c:v>207.26</c:v>
                </c:pt>
                <c:pt idx="32">
                  <c:v>238.27500000000003</c:v>
                </c:pt>
                <c:pt idx="34">
                  <c:v>106.02000000000001</c:v>
                </c:pt>
                <c:pt idx="35">
                  <c:v>18.225000000000001</c:v>
                </c:pt>
                <c:pt idx="36">
                  <c:v>93.960000000000008</c:v>
                </c:pt>
                <c:pt idx="37">
                  <c:v>4.125</c:v>
                </c:pt>
                <c:pt idx="38">
                  <c:v>28.395</c:v>
                </c:pt>
                <c:pt idx="39">
                  <c:v>220.45499999999996</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1-98F7-4BCA-8359-FE6401DF7FCB}"/>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#,##0_);\(#,##0\)</c:formatCode>
                <c:ptCount val="44"/>
                <c:pt idx="0">
                  <c:v>95.1</c:v>
                </c:pt>
                <c:pt idx="1">
                  <c:v>314.89999999999992</c:v>
                </c:pt>
                <c:pt idx="2">
                  <c:v>75.69</c:v>
                </c:pt>
                <c:pt idx="3">
                  <c:v>104.65</c:v>
                </c:pt>
                <c:pt idx="4">
                  <c:v>193.83499999999998</c:v>
                </c:pt>
                <c:pt idx="5">
                  <c:v>46.769999999999996</c:v>
                </c:pt>
                <c:pt idx="6">
                  <c:v>12.95</c:v>
                </c:pt>
                <c:pt idx="8">
                  <c:v>210.72499999999997</c:v>
                </c:pt>
                <c:pt idx="9">
                  <c:v>161.16499999999999</c:v>
                </c:pt>
                <c:pt idx="10">
                  <c:v>126.49999999999999</c:v>
                </c:pt>
                <c:pt idx="11">
                  <c:v>137.85</c:v>
                </c:pt>
                <c:pt idx="12">
                  <c:v>231.88</c:v>
                </c:pt>
                <c:pt idx="13">
                  <c:v>73.740000000000009</c:v>
                </c:pt>
                <c:pt idx="14">
                  <c:v>200.345</c:v>
                </c:pt>
                <c:pt idx="15">
                  <c:v>23.774999999999999</c:v>
                </c:pt>
                <c:pt idx="16">
                  <c:v>23.774999999999999</c:v>
                </c:pt>
                <c:pt idx="17">
                  <c:v>212.42499999999998</c:v>
                </c:pt>
                <c:pt idx="18">
                  <c:v>61.11</c:v>
                </c:pt>
                <c:pt idx="19">
                  <c:v>31.97</c:v>
                </c:pt>
                <c:pt idx="20">
                  <c:v>25.049999999999997</c:v>
                </c:pt>
                <c:pt idx="21">
                  <c:v>305.73999999999995</c:v>
                </c:pt>
                <c:pt idx="22">
                  <c:v>227.89999999999998</c:v>
                </c:pt>
                <c:pt idx="23">
                  <c:v>23.31</c:v>
                </c:pt>
                <c:pt idx="24">
                  <c:v>78.63</c:v>
                </c:pt>
                <c:pt idx="25">
                  <c:v>7.77</c:v>
                </c:pt>
                <c:pt idx="26">
                  <c:v>126.90999999999998</c:v>
                </c:pt>
                <c:pt idx="27">
                  <c:v>225.92499999999998</c:v>
                </c:pt>
                <c:pt idx="28">
                  <c:v>3.8849999999999998</c:v>
                </c:pt>
                <c:pt idx="29">
                  <c:v>21.825000000000003</c:v>
                </c:pt>
                <c:pt idx="30">
                  <c:v>8.73</c:v>
                </c:pt>
                <c:pt idx="32">
                  <c:v>46.62</c:v>
                </c:pt>
                <c:pt idx="33">
                  <c:v>299.07</c:v>
                </c:pt>
                <c:pt idx="34">
                  <c:v>262.72000000000003</c:v>
                </c:pt>
                <c:pt idx="35">
                  <c:v>241.85</c:v>
                </c:pt>
                <c:pt idx="36">
                  <c:v>380.43499999999995</c:v>
                </c:pt>
                <c:pt idx="37">
                  <c:v>23.774999999999999</c:v>
                </c:pt>
                <c:pt idx="38">
                  <c:v>458.14499999999998</c:v>
                </c:pt>
                <c:pt idx="39">
                  <c:v>42.734999999999999</c:v>
                </c:pt>
                <c:pt idx="40">
                  <c:v>79.180000000000007</c:v>
                </c:pt>
                <c:pt idx="41">
                  <c:v>8.73</c:v>
                </c:pt>
              </c:numCache>
            </c:numRef>
          </c:val>
          <c:smooth val="0"/>
          <c:extLst>
            <c:ext xmlns:c16="http://schemas.microsoft.com/office/drawing/2014/chart" uri="{C3380CC4-5D6E-409C-BE32-E72D297353CC}">
              <c16:uniqueId val="{00000002-98F7-4BCA-8359-FE6401DF7FCB}"/>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#,##0_);\(#,##0\)</c:formatCode>
                <c:ptCount val="44"/>
                <c:pt idx="0">
                  <c:v>11.94</c:v>
                </c:pt>
                <c:pt idx="1">
                  <c:v>100.23999999999998</c:v>
                </c:pt>
                <c:pt idx="2">
                  <c:v>89.299999999999983</c:v>
                </c:pt>
                <c:pt idx="3">
                  <c:v>137.33999999999997</c:v>
                </c:pt>
                <c:pt idx="4">
                  <c:v>68.039999999999992</c:v>
                </c:pt>
                <c:pt idx="5">
                  <c:v>281.52</c:v>
                </c:pt>
                <c:pt idx="6">
                  <c:v>59.699999999999996</c:v>
                </c:pt>
                <c:pt idx="7">
                  <c:v>43.019999999999996</c:v>
                </c:pt>
                <c:pt idx="8">
                  <c:v>457.07999999999993</c:v>
                </c:pt>
                <c:pt idx="10">
                  <c:v>73.125</c:v>
                </c:pt>
                <c:pt idx="11">
                  <c:v>152.035</c:v>
                </c:pt>
                <c:pt idx="12">
                  <c:v>21.495000000000001</c:v>
                </c:pt>
                <c:pt idx="13">
                  <c:v>27.15</c:v>
                </c:pt>
                <c:pt idx="14">
                  <c:v>65.67</c:v>
                </c:pt>
                <c:pt idx="15">
                  <c:v>125.61499999999998</c:v>
                </c:pt>
                <c:pt idx="16">
                  <c:v>14.924999999999999</c:v>
                </c:pt>
                <c:pt idx="17">
                  <c:v>140.88</c:v>
                </c:pt>
                <c:pt idx="18">
                  <c:v>147.67500000000001</c:v>
                </c:pt>
                <c:pt idx="19">
                  <c:v>11.94</c:v>
                </c:pt>
                <c:pt idx="20">
                  <c:v>5.97</c:v>
                </c:pt>
                <c:pt idx="21">
                  <c:v>131.44999999999999</c:v>
                </c:pt>
                <c:pt idx="22">
                  <c:v>77.234999999999999</c:v>
                </c:pt>
                <c:pt idx="23">
                  <c:v>59.194999999999993</c:v>
                </c:pt>
                <c:pt idx="24">
                  <c:v>124.37499999999999</c:v>
                </c:pt>
                <c:pt idx="25">
                  <c:v>64.44</c:v>
                </c:pt>
                <c:pt idx="26">
                  <c:v>89.534999999999982</c:v>
                </c:pt>
                <c:pt idx="27">
                  <c:v>82.339999999999989</c:v>
                </c:pt>
                <c:pt idx="28">
                  <c:v>88.07</c:v>
                </c:pt>
                <c:pt idx="30">
                  <c:v>53.699999999999996</c:v>
                </c:pt>
                <c:pt idx="31">
                  <c:v>175.54999999999995</c:v>
                </c:pt>
                <c:pt idx="32">
                  <c:v>35.849999999999994</c:v>
                </c:pt>
                <c:pt idx="33">
                  <c:v>141.08500000000001</c:v>
                </c:pt>
                <c:pt idx="34">
                  <c:v>189.47499999999999</c:v>
                </c:pt>
                <c:pt idx="35">
                  <c:v>26.849999999999998</c:v>
                </c:pt>
                <c:pt idx="36">
                  <c:v>78.034999999999997</c:v>
                </c:pt>
                <c:pt idx="38">
                  <c:v>240.34999999999997</c:v>
                </c:pt>
                <c:pt idx="39">
                  <c:v>119.04499999999999</c:v>
                </c:pt>
                <c:pt idx="40">
                  <c:v>95.6</c:v>
                </c:pt>
                <c:pt idx="41">
                  <c:v>138.72499999999997</c:v>
                </c:pt>
                <c:pt idx="42">
                  <c:v>65.669999999999987</c:v>
                </c:pt>
                <c:pt idx="43">
                  <c:v>45.379999999999995</c:v>
                </c:pt>
              </c:numCache>
            </c:numRef>
          </c:val>
          <c:smooth val="0"/>
          <c:extLst>
            <c:ext xmlns:c16="http://schemas.microsoft.com/office/drawing/2014/chart" uri="{C3380CC4-5D6E-409C-BE32-E72D297353CC}">
              <c16:uniqueId val="{00000005-98F7-4BCA-8359-FE6401DF7FCB}"/>
            </c:ext>
          </c:extLst>
        </c:ser>
        <c:dLbls>
          <c:showLegendKey val="0"/>
          <c:showVal val="0"/>
          <c:showCatName val="0"/>
          <c:showSerName val="0"/>
          <c:showPercent val="0"/>
          <c:showBubbleSize val="0"/>
        </c:dLbls>
        <c:smooth val="0"/>
        <c:axId val="2104815823"/>
        <c:axId val="2104816303"/>
      </c:lineChart>
      <c:catAx>
        <c:axId val="210481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104816303"/>
        <c:crosses val="autoZero"/>
        <c:auto val="1"/>
        <c:lblAlgn val="ctr"/>
        <c:lblOffset val="100"/>
        <c:noMultiLvlLbl val="0"/>
      </c:catAx>
      <c:valAx>
        <c:axId val="2104816303"/>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210481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590551</xdr:colOff>
      <xdr:row>6</xdr:row>
      <xdr:rowOff>171450</xdr:rowOff>
    </xdr:from>
    <xdr:to>
      <xdr:col>12</xdr:col>
      <xdr:colOff>209550</xdr:colOff>
      <xdr:row>23</xdr:row>
      <xdr:rowOff>166687</xdr:rowOff>
    </xdr:to>
    <xdr:graphicFrame macro="">
      <xdr:nvGraphicFramePr>
        <xdr:cNvPr id="7" name="Chart 6">
          <a:extLst>
            <a:ext uri="{FF2B5EF4-FFF2-40B4-BE49-F238E27FC236}">
              <a16:creationId xmlns:a16="http://schemas.microsoft.com/office/drawing/2014/main" id="{D4007E28-7E4D-B3BC-FF54-5525E3132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285750</xdr:colOff>
      <xdr:row>5</xdr:row>
      <xdr:rowOff>0</xdr:rowOff>
    </xdr:to>
    <xdr:sp macro="" textlink="">
      <xdr:nvSpPr>
        <xdr:cNvPr id="4" name="Rectangle 3">
          <a:extLst>
            <a:ext uri="{FF2B5EF4-FFF2-40B4-BE49-F238E27FC236}">
              <a16:creationId xmlns:a16="http://schemas.microsoft.com/office/drawing/2014/main" id="{6CCFFEE1-5CBE-F3E3-61E3-2AA7BEF770ED}"/>
            </a:ext>
          </a:extLst>
        </xdr:cNvPr>
        <xdr:cNvSpPr/>
      </xdr:nvSpPr>
      <xdr:spPr>
        <a:xfrm>
          <a:off x="114300" y="57150"/>
          <a:ext cx="14916150" cy="762000"/>
        </a:xfrm>
        <a:prstGeom prst="rect">
          <a:avLst/>
        </a:prstGeom>
        <a:solidFill>
          <a:srgbClr val="7030A0"/>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solidFill>
            </a:rPr>
            <a:t>COFFEE SALES DASHBOARD</a:t>
          </a:r>
        </a:p>
      </xdr:txBody>
    </xdr:sp>
    <xdr:clientData/>
  </xdr:twoCellAnchor>
  <xdr:twoCellAnchor>
    <xdr:from>
      <xdr:col>11</xdr:col>
      <xdr:colOff>571500</xdr:colOff>
      <xdr:row>14</xdr:row>
      <xdr:rowOff>0</xdr:rowOff>
    </xdr:from>
    <xdr:to>
      <xdr:col>25</xdr:col>
      <xdr:colOff>266699</xdr:colOff>
      <xdr:row>34</xdr:row>
      <xdr:rowOff>28575</xdr:rowOff>
    </xdr:to>
    <xdr:graphicFrame macro="">
      <xdr:nvGraphicFramePr>
        <xdr:cNvPr id="7" name="Chart 6">
          <a:extLst>
            <a:ext uri="{FF2B5EF4-FFF2-40B4-BE49-F238E27FC236}">
              <a16:creationId xmlns:a16="http://schemas.microsoft.com/office/drawing/2014/main" id="{F1D80CD5-71D5-482B-818F-F5B781E7E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52387</xdr:colOff>
      <xdr:row>13</xdr:row>
      <xdr:rowOff>161924</xdr:rowOff>
    </xdr:from>
    <xdr:to>
      <xdr:col>11</xdr:col>
      <xdr:colOff>361951</xdr:colOff>
      <xdr:row>34</xdr:row>
      <xdr:rowOff>85724</xdr:rowOff>
    </xdr:to>
    <xdr:graphicFrame macro="">
      <xdr:nvGraphicFramePr>
        <xdr:cNvPr id="13" name="Chart 12">
          <a:extLst>
            <a:ext uri="{FF2B5EF4-FFF2-40B4-BE49-F238E27FC236}">
              <a16:creationId xmlns:a16="http://schemas.microsoft.com/office/drawing/2014/main" id="{9B7675CE-83A0-422E-90B1-57726A16E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104775</xdr:colOff>
      <xdr:row>5</xdr:row>
      <xdr:rowOff>85724</xdr:rowOff>
    </xdr:from>
    <xdr:to>
      <xdr:col>11</xdr:col>
      <xdr:colOff>304800</xdr:colOff>
      <xdr:row>12</xdr:row>
      <xdr:rowOff>123824</xdr:rowOff>
    </xdr:to>
    <mc:AlternateContent xmlns:mc="http://schemas.openxmlformats.org/markup-compatibility/2006">
      <mc:Choice xmlns:tsle="http://schemas.microsoft.com/office/drawing/2012/timeslicer" Requires="tsle">
        <xdr:graphicFrame macro="">
          <xdr:nvGraphicFramePr>
            <xdr:cNvPr id="14" name="Order Date">
              <a:extLst>
                <a:ext uri="{FF2B5EF4-FFF2-40B4-BE49-F238E27FC236}">
                  <a16:creationId xmlns:a16="http://schemas.microsoft.com/office/drawing/2014/main" id="{5F0CB3D1-4665-4D55-8375-53D1B18B6BF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4775" y="904874"/>
              <a:ext cx="64103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285750</xdr:colOff>
      <xdr:row>5</xdr:row>
      <xdr:rowOff>133350</xdr:rowOff>
    </xdr:from>
    <xdr:to>
      <xdr:col>21</xdr:col>
      <xdr:colOff>133350</xdr:colOff>
      <xdr:row>12</xdr:row>
      <xdr:rowOff>152400</xdr:rowOff>
    </xdr:to>
    <mc:AlternateContent xmlns:mc="http://schemas.openxmlformats.org/markup-compatibility/2006">
      <mc:Choice xmlns:a14="http://schemas.microsoft.com/office/drawing/2010/main" Requires="a14">
        <xdr:graphicFrame macro="">
          <xdr:nvGraphicFramePr>
            <xdr:cNvPr id="15" name="Size">
              <a:extLst>
                <a:ext uri="{FF2B5EF4-FFF2-40B4-BE49-F238E27FC236}">
                  <a16:creationId xmlns:a16="http://schemas.microsoft.com/office/drawing/2014/main" id="{6E8A810D-E9C9-419C-8979-0DD8784762B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544050" y="952500"/>
              <a:ext cx="289560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428626</xdr:colOff>
      <xdr:row>5</xdr:row>
      <xdr:rowOff>133350</xdr:rowOff>
    </xdr:from>
    <xdr:to>
      <xdr:col>16</xdr:col>
      <xdr:colOff>228600</xdr:colOff>
      <xdr:row>12</xdr:row>
      <xdr:rowOff>152400</xdr:rowOff>
    </xdr:to>
    <mc:AlternateContent xmlns:mc="http://schemas.openxmlformats.org/markup-compatibility/2006">
      <mc:Choice xmlns:a14="http://schemas.microsoft.com/office/drawing/2010/main" Requires="a14">
        <xdr:graphicFrame macro="">
          <xdr:nvGraphicFramePr>
            <xdr:cNvPr id="16" name="Roast Type Name">
              <a:extLst>
                <a:ext uri="{FF2B5EF4-FFF2-40B4-BE49-F238E27FC236}">
                  <a16:creationId xmlns:a16="http://schemas.microsoft.com/office/drawing/2014/main" id="{59993077-4721-4268-B564-C7D9B06F8BD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6638926" y="952500"/>
              <a:ext cx="2847974"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238125</xdr:colOff>
      <xdr:row>5</xdr:row>
      <xdr:rowOff>123825</xdr:rowOff>
    </xdr:from>
    <xdr:to>
      <xdr:col>25</xdr:col>
      <xdr:colOff>295274</xdr:colOff>
      <xdr:row>12</xdr:row>
      <xdr:rowOff>104775</xdr:rowOff>
    </xdr:to>
    <mc:AlternateContent xmlns:mc="http://schemas.openxmlformats.org/markup-compatibility/2006">
      <mc:Choice xmlns:a14="http://schemas.microsoft.com/office/drawing/2010/main" Requires="a14">
        <xdr:graphicFrame macro="">
          <xdr:nvGraphicFramePr>
            <xdr:cNvPr id="17" name="Loyalty Card">
              <a:extLst>
                <a:ext uri="{FF2B5EF4-FFF2-40B4-BE49-F238E27FC236}">
                  <a16:creationId xmlns:a16="http://schemas.microsoft.com/office/drawing/2014/main" id="{FACB54AC-0121-4931-B4D2-9917C4FBEE5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544425" y="942975"/>
              <a:ext cx="2495549"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033.321855439812" createdVersion="8" refreshedVersion="8" minRefreshableVersion="3" recordCount="1000" xr:uid="{A9734EE6-A5B8-4461-B7E7-9D8A4A521DAC}">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3781822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30FE62-9728-416D-A8DC-AE9B9B34872D}" name="TotalSales" cacheId="1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9">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44" outline="0" showAll="0"/>
    <pivotField dataField="1" compact="0" numFmtId="44"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h="1"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6" numFmtId="37"/>
  </dataFields>
  <chartFormats count="1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2"/>
          </reference>
        </references>
      </pivotArea>
    </chartFormat>
    <chartFormat chart="6" format="7"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32BB37-82F5-4908-B4AA-B9DEE8A9291E}" name="TotalSales" cacheId="1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4">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44" outline="0" showAll="0"/>
    <pivotField dataField="1" compact="0" numFmtId="44"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h="1"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7" baseItem="1" numFmtId="5"/>
  </dataFields>
  <chartFormats count="1">
    <chartFormat chart="1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F050D4-E0A0-488B-AFAE-DB01A63F58E2}" name="TotalSales" cacheId="1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9">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44" outline="0" showAll="0"/>
    <pivotField dataField="1" compact="0" numFmtId="44"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h="1"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89"/>
    </i>
    <i>
      <x v="518"/>
    </i>
    <i>
      <x v="17"/>
    </i>
    <i>
      <x v="126"/>
    </i>
    <i>
      <x v="125"/>
    </i>
    <i t="grand">
      <x/>
    </i>
  </rowItems>
  <colItems count="1">
    <i/>
  </colItems>
  <dataFields count="1">
    <dataField name="Sum of Sales" fld="12" baseField="7" baseItem="1" numFmtId="5"/>
  </dataFields>
  <chartFormats count="4">
    <chartFormat chart="6" format="9"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F9113DA-59B7-4D08-8708-3E751AB59242}" sourceName="Size">
  <pivotTables>
    <pivotTable tabId="19" name="TotalSales"/>
    <pivotTable tabId="20" name="TotalSales"/>
    <pivotTable tabId="21" name="TotalSales"/>
  </pivotTables>
  <data>
    <tabular pivotCacheId="137818222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5EA3560-8816-4088-933D-2A0D63FE0E8A}" sourceName="Roast Type Name">
  <pivotTables>
    <pivotTable tabId="19" name="TotalSales"/>
    <pivotTable tabId="20" name="TotalSales"/>
    <pivotTable tabId="21" name="TotalSales"/>
  </pivotTables>
  <data>
    <tabular pivotCacheId="137818222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5F631F3-40F6-41A0-99B5-F605930D3EB2}" sourceName="Loyalty Card">
  <pivotTables>
    <pivotTable tabId="19" name="TotalSales"/>
    <pivotTable tabId="20" name="TotalSales"/>
    <pivotTable tabId="21" name="TotalSales"/>
  </pivotTables>
  <data>
    <tabular pivotCacheId="1378182229">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E2F40CD3-9E8D-4A78-B426-D91E7093ADE0}" cache="Slicer_Size" caption="Size" columnCount="2" style="Purple Slicer" rowHeight="241300"/>
  <slicer name="Roast Type Name" xr10:uid="{DB4DF88B-4BF1-44EA-8EB5-5E5335872788}" cache="Slicer_Roast_Type_Name" caption="Roast Type Name" columnCount="3" style="Purple Slicer" rowHeight="241300"/>
  <slicer name="Loyalty Card" xr10:uid="{4D515472-B29F-4465-B559-8B44F3CFD393}"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C829F-823D-4DD6-B5A8-6A2129E41035}" name="Table1" displayName="Table1" ref="A1:P1001" totalsRowShown="0" headerRowDxfId="15">
  <autoFilter ref="A1:P1001" xr:uid="{7F8C829F-823D-4DD6-B5A8-6A2129E41035}"/>
  <tableColumns count="16">
    <tableColumn id="1" xr3:uid="{63AB76DD-C5A9-483B-B2AE-4AFD2BA1E15B}" name="Order ID" dataDxfId="14"/>
    <tableColumn id="2" xr3:uid="{3748FD9D-B852-4F6E-A1A5-44DD0305E3E0}" name="Order Date" dataDxfId="13"/>
    <tableColumn id="3" xr3:uid="{C60C0BA3-8EFE-42DB-A4AD-23CBC4F99806}" name="Customer ID" dataDxfId="12"/>
    <tableColumn id="4" xr3:uid="{447FEBA8-51B7-48BD-95B3-01A7C04616D4}" name="Product ID"/>
    <tableColumn id="5" xr3:uid="{DF4866D3-238C-4166-9AC5-6C01BC3EA54B}" name="Quantity" dataDxfId="11"/>
    <tableColumn id="6" xr3:uid="{9B75B3D3-CBD1-4B8A-A0CE-4CD0C198D795}" name="Customer Name" dataDxfId="10">
      <calculatedColumnFormula>_xlfn.XLOOKUP(orders!C2,customers!$A$1:$A$1001,customers!$B$1:$B$1001,,0)</calculatedColumnFormula>
    </tableColumn>
    <tableColumn id="7" xr3:uid="{562DC514-1B85-4AB1-85F2-ADAF983C8EC4}" name="Email" dataDxfId="9">
      <calculatedColumnFormula>IF(_xlfn.XLOOKUP(C2,customers!$A$1:$A$1001,customers!$C$1:$C$1001,,0)=0,"",_xlfn.XLOOKUP(C2,customers!$A$1:$A$1001,customers!$C$1:$C$1001,,0))</calculatedColumnFormula>
    </tableColumn>
    <tableColumn id="8" xr3:uid="{51D1B545-1157-4FA5-B4C3-ABA668915045}" name="Country" dataDxfId="8">
      <calculatedColumnFormula>_xlfn.XLOOKUP(C2,customers!$A$1:$A$1001,customers!$G$1:$G$1001,,0)</calculatedColumnFormula>
    </tableColumn>
    <tableColumn id="9" xr3:uid="{4B381165-6C7C-4FC8-AEE7-6B6559392074}" name="Coffee Type">
      <calculatedColumnFormula>INDEX(products!$A$1:$G$49,MATCH(orders!$D2,products!$A$1:$A$49,0),MATCH(orders!I$1,products!$A$1:$G$1,0))</calculatedColumnFormula>
    </tableColumn>
    <tableColumn id="10" xr3:uid="{643A1FA1-E4AE-4549-9B2A-FDC01FCEE1F1}" name="Roast Type">
      <calculatedColumnFormula>INDEX(products!$A$1:$G$49,MATCH(orders!$D2,products!$A$1:$A$49,0),MATCH(orders!J$1,products!$A$1:$G$1,0))</calculatedColumnFormula>
    </tableColumn>
    <tableColumn id="11" xr3:uid="{9A5F2CC8-FEED-49FE-99BE-42EEA3283EC7}" name="Size" dataDxfId="7">
      <calculatedColumnFormula>INDEX(products!$A$1:$G$49,MATCH(orders!$D2,products!$A$1:$A$49,0),MATCH(orders!K$1,products!$A$1:$G$1,0))</calculatedColumnFormula>
    </tableColumn>
    <tableColumn id="12" xr3:uid="{0865AA72-F554-4BB0-8CCF-069554E93DED}" name="Unit Price" dataDxfId="6" dataCellStyle="Currency">
      <calculatedColumnFormula>INDEX(products!$A$1:$G$49,MATCH(orders!$D2,products!$A$1:$A$49,0),MATCH(orders!L$1,products!$A$1:$G$1,0))</calculatedColumnFormula>
    </tableColumn>
    <tableColumn id="13" xr3:uid="{EB05FBF4-63DC-4316-A47B-99D6D1807B8D}" name="Sales" dataDxfId="5" dataCellStyle="Currency">
      <calculatedColumnFormula>L2*E2</calculatedColumnFormula>
    </tableColumn>
    <tableColumn id="14" xr3:uid="{F8B2E346-8F25-436E-9075-F1A07A4F7825}" name="Coffee Type Name">
      <calculatedColumnFormula>IF(I2="Rob", "Robusta", IF(I2="Exc","Excelsa", IF(I2="Ara","Arabica", IF(I2="Lib","Liberica",""))))</calculatedColumnFormula>
    </tableColumn>
    <tableColumn id="15" xr3:uid="{0FCD3CA2-2DED-4F7C-AF53-F2F6FE7837A8}" name="Roast Type Name">
      <calculatedColumnFormula>IF(J2="M", "Medium", IF(J2="L","Light",IF(J2="D","Dark","")))</calculatedColumnFormula>
    </tableColumn>
    <tableColumn id="16" xr3:uid="{298A05D7-6021-4896-A797-8F12B63C9F4B}" name="Loyalty Card" dataDxfId="2">
      <calculatedColumnFormula>_xlfn.XLOOKUP(Table1[[#This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DBDA0E5-4FDA-4742-8730-D4BBC42FCE58}" sourceName="Order Date">
  <pivotTables>
    <pivotTable tabId="19" name="TotalSales"/>
    <pivotTable tabId="20" name="TotalSales"/>
    <pivotTable tabId="21" name="TotalSales"/>
  </pivotTables>
  <state minimalRefreshVersion="6" lastRefreshVersion="6" pivotCacheId="137818222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5F95ED8-4EC2-4AD2-B248-519EF8D05438}" cache="NativeTimeline_Order_Date" caption="Order Date" level="2" selectionLevel="2" scrollPosition="2020-12-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55382-1029-483E-93F3-789B36C9F874}">
  <dimension ref="A3:G53"/>
  <sheetViews>
    <sheetView workbookViewId="0">
      <selection activeCell="B25" sqref="B25"/>
    </sheetView>
  </sheetViews>
  <sheetFormatPr defaultRowHeight="15" x14ac:dyDescent="0.25"/>
  <cols>
    <col min="1" max="1" width="13.140625" bestFit="1" customWidth="1"/>
    <col min="2" max="2" width="22" bestFit="1" customWidth="1"/>
    <col min="3" max="6" width="20" bestFit="1" customWidth="1"/>
    <col min="7" max="7" width="11.28515625" bestFit="1" customWidth="1"/>
  </cols>
  <sheetData>
    <row r="3" spans="1:7" x14ac:dyDescent="0.25">
      <c r="A3" s="11" t="s">
        <v>6229</v>
      </c>
      <c r="C3" s="11" t="s">
        <v>6200</v>
      </c>
    </row>
    <row r="4" spans="1:7" x14ac:dyDescent="0.25">
      <c r="A4" s="11" t="s">
        <v>6219</v>
      </c>
      <c r="B4" s="11" t="s">
        <v>6220</v>
      </c>
      <c r="C4" t="s">
        <v>6225</v>
      </c>
      <c r="D4" t="s">
        <v>6226</v>
      </c>
      <c r="E4" t="s">
        <v>6227</v>
      </c>
      <c r="F4" t="s">
        <v>6228</v>
      </c>
      <c r="G4" t="s">
        <v>6202</v>
      </c>
    </row>
    <row r="5" spans="1:7" x14ac:dyDescent="0.25">
      <c r="A5" t="s">
        <v>6203</v>
      </c>
      <c r="B5" t="s">
        <v>6207</v>
      </c>
      <c r="C5" s="13"/>
      <c r="D5" s="13">
        <v>107.72999999999999</v>
      </c>
      <c r="E5" s="13">
        <v>95.1</v>
      </c>
      <c r="F5" s="13">
        <v>11.94</v>
      </c>
      <c r="G5" s="13">
        <v>214.76999999999998</v>
      </c>
    </row>
    <row r="6" spans="1:7" x14ac:dyDescent="0.25">
      <c r="B6" t="s">
        <v>6208</v>
      </c>
      <c r="C6" s="13">
        <v>162.125</v>
      </c>
      <c r="D6" s="13">
        <v>88.21</v>
      </c>
      <c r="E6" s="13">
        <v>314.89999999999992</v>
      </c>
      <c r="F6" s="13">
        <v>100.23999999999998</v>
      </c>
      <c r="G6" s="13">
        <v>665.47499999999991</v>
      </c>
    </row>
    <row r="7" spans="1:7" x14ac:dyDescent="0.25">
      <c r="B7" t="s">
        <v>6209</v>
      </c>
      <c r="C7" s="13"/>
      <c r="D7" s="13">
        <v>159.57999999999998</v>
      </c>
      <c r="E7" s="13">
        <v>75.69</v>
      </c>
      <c r="F7" s="13">
        <v>89.299999999999983</v>
      </c>
      <c r="G7" s="13">
        <v>324.56999999999994</v>
      </c>
    </row>
    <row r="8" spans="1:7" x14ac:dyDescent="0.25">
      <c r="B8" t="s">
        <v>6210</v>
      </c>
      <c r="C8" s="13">
        <v>242.36999999999998</v>
      </c>
      <c r="D8" s="13">
        <v>499.90499999999992</v>
      </c>
      <c r="E8" s="13">
        <v>104.65</v>
      </c>
      <c r="F8" s="13">
        <v>137.33999999999997</v>
      </c>
      <c r="G8" s="13">
        <v>984.26499999999987</v>
      </c>
    </row>
    <row r="9" spans="1:7" x14ac:dyDescent="0.25">
      <c r="B9" t="s">
        <v>6211</v>
      </c>
      <c r="C9" s="13"/>
      <c r="D9" s="13">
        <v>75.734999999999999</v>
      </c>
      <c r="E9" s="13">
        <v>193.83499999999998</v>
      </c>
      <c r="F9" s="13">
        <v>68.039999999999992</v>
      </c>
      <c r="G9" s="13">
        <v>337.61</v>
      </c>
    </row>
    <row r="10" spans="1:7" x14ac:dyDescent="0.25">
      <c r="B10" t="s">
        <v>6212</v>
      </c>
      <c r="C10" s="13">
        <v>163.01999999999998</v>
      </c>
      <c r="D10" s="13">
        <v>130.625</v>
      </c>
      <c r="E10" s="13">
        <v>46.769999999999996</v>
      </c>
      <c r="F10" s="13">
        <v>281.52</v>
      </c>
      <c r="G10" s="13">
        <v>621.93499999999995</v>
      </c>
    </row>
    <row r="11" spans="1:7" x14ac:dyDescent="0.25">
      <c r="B11" t="s">
        <v>6213</v>
      </c>
      <c r="C11" s="13">
        <v>175.06999999999996</v>
      </c>
      <c r="D11" s="13">
        <v>55.19</v>
      </c>
      <c r="E11" s="13">
        <v>12.95</v>
      </c>
      <c r="F11" s="13">
        <v>59.699999999999996</v>
      </c>
      <c r="G11" s="13">
        <v>302.90999999999997</v>
      </c>
    </row>
    <row r="12" spans="1:7" x14ac:dyDescent="0.25">
      <c r="B12" t="s">
        <v>6214</v>
      </c>
      <c r="C12" s="13">
        <v>121.21499999999997</v>
      </c>
      <c r="D12" s="13">
        <v>29.7</v>
      </c>
      <c r="E12" s="13"/>
      <c r="F12" s="13">
        <v>43.019999999999996</v>
      </c>
      <c r="G12" s="13">
        <v>193.93499999999995</v>
      </c>
    </row>
    <row r="13" spans="1:7" x14ac:dyDescent="0.25">
      <c r="B13" t="s">
        <v>6215</v>
      </c>
      <c r="C13" s="13"/>
      <c r="D13" s="13">
        <v>130.35</v>
      </c>
      <c r="E13" s="13">
        <v>210.72499999999997</v>
      </c>
      <c r="F13" s="13">
        <v>457.07999999999993</v>
      </c>
      <c r="G13" s="13">
        <v>798.15499999999986</v>
      </c>
    </row>
    <row r="14" spans="1:7" x14ac:dyDescent="0.25">
      <c r="B14" t="s">
        <v>6216</v>
      </c>
      <c r="C14" s="13">
        <v>114.00999999999999</v>
      </c>
      <c r="D14" s="13">
        <v>39.69</v>
      </c>
      <c r="E14" s="13">
        <v>161.16499999999999</v>
      </c>
      <c r="F14" s="13"/>
      <c r="G14" s="13">
        <v>314.86500000000001</v>
      </c>
    </row>
    <row r="15" spans="1:7" x14ac:dyDescent="0.25">
      <c r="B15" t="s">
        <v>6217</v>
      </c>
      <c r="C15" s="13">
        <v>245.33499999999998</v>
      </c>
      <c r="D15" s="13">
        <v>63.249999999999993</v>
      </c>
      <c r="E15" s="13">
        <v>126.49999999999999</v>
      </c>
      <c r="F15" s="13">
        <v>73.125</v>
      </c>
      <c r="G15" s="13">
        <v>508.21</v>
      </c>
    </row>
    <row r="16" spans="1:7" x14ac:dyDescent="0.25">
      <c r="B16" t="s">
        <v>6218</v>
      </c>
      <c r="C16" s="13">
        <v>17.384999999999998</v>
      </c>
      <c r="D16" s="13">
        <v>321.58499999999992</v>
      </c>
      <c r="E16" s="13">
        <v>137.85</v>
      </c>
      <c r="F16" s="13">
        <v>152.035</v>
      </c>
      <c r="G16" s="13">
        <v>628.8549999999999</v>
      </c>
    </row>
    <row r="17" spans="1:7" x14ac:dyDescent="0.25">
      <c r="A17" t="s">
        <v>6221</v>
      </c>
      <c r="C17" s="13">
        <v>1240.53</v>
      </c>
      <c r="D17" s="13">
        <v>1701.5499999999997</v>
      </c>
      <c r="E17" s="13">
        <v>1480.1349999999998</v>
      </c>
      <c r="F17" s="13">
        <v>1473.34</v>
      </c>
      <c r="G17" s="13">
        <v>5895.5549999999994</v>
      </c>
    </row>
    <row r="18" spans="1:7" x14ac:dyDescent="0.25">
      <c r="A18" t="s">
        <v>6204</v>
      </c>
      <c r="B18" t="s">
        <v>6207</v>
      </c>
      <c r="C18" s="13">
        <v>47.25</v>
      </c>
      <c r="D18" s="13">
        <v>10.935</v>
      </c>
      <c r="E18" s="13">
        <v>231.88</v>
      </c>
      <c r="F18" s="13">
        <v>21.495000000000001</v>
      </c>
      <c r="G18" s="13">
        <v>311.56</v>
      </c>
    </row>
    <row r="19" spans="1:7" x14ac:dyDescent="0.25">
      <c r="B19" t="s">
        <v>6208</v>
      </c>
      <c r="C19" s="13">
        <v>5.97</v>
      </c>
      <c r="D19" s="13">
        <v>94.55</v>
      </c>
      <c r="E19" s="13">
        <v>73.740000000000009</v>
      </c>
      <c r="F19" s="13">
        <v>27.15</v>
      </c>
      <c r="G19" s="13">
        <v>201.41</v>
      </c>
    </row>
    <row r="20" spans="1:7" x14ac:dyDescent="0.25">
      <c r="B20" t="s">
        <v>6209</v>
      </c>
      <c r="C20" s="13">
        <v>63.81</v>
      </c>
      <c r="D20" s="13">
        <v>186.03</v>
      </c>
      <c r="E20" s="13">
        <v>200.345</v>
      </c>
      <c r="F20" s="13">
        <v>65.67</v>
      </c>
      <c r="G20" s="13">
        <v>515.85500000000002</v>
      </c>
    </row>
    <row r="21" spans="1:7" x14ac:dyDescent="0.25">
      <c r="B21" t="s">
        <v>6210</v>
      </c>
      <c r="C21" s="13"/>
      <c r="D21" s="13">
        <v>269.49999999999994</v>
      </c>
      <c r="E21" s="13">
        <v>23.774999999999999</v>
      </c>
      <c r="F21" s="13">
        <v>125.61499999999998</v>
      </c>
      <c r="G21" s="13">
        <v>418.88999999999987</v>
      </c>
    </row>
    <row r="22" spans="1:7" x14ac:dyDescent="0.25">
      <c r="B22" t="s">
        <v>6211</v>
      </c>
      <c r="C22" s="13">
        <v>215.31499999999997</v>
      </c>
      <c r="D22" s="13">
        <v>296.05500000000001</v>
      </c>
      <c r="E22" s="13">
        <v>23.774999999999999</v>
      </c>
      <c r="F22" s="13">
        <v>14.924999999999999</v>
      </c>
      <c r="G22" s="13">
        <v>550.06999999999994</v>
      </c>
    </row>
    <row r="23" spans="1:7" x14ac:dyDescent="0.25">
      <c r="B23" t="s">
        <v>6212</v>
      </c>
      <c r="C23" s="13">
        <v>240.74999999999997</v>
      </c>
      <c r="D23" s="13">
        <v>165.71499999999997</v>
      </c>
      <c r="E23" s="13">
        <v>212.42499999999998</v>
      </c>
      <c r="F23" s="13">
        <v>140.88</v>
      </c>
      <c r="G23" s="13">
        <v>759.76999999999987</v>
      </c>
    </row>
    <row r="24" spans="1:7" x14ac:dyDescent="0.25">
      <c r="B24" t="s">
        <v>6213</v>
      </c>
      <c r="C24" s="13">
        <v>351.14999999999992</v>
      </c>
      <c r="D24" s="13">
        <v>117.425</v>
      </c>
      <c r="E24" s="13">
        <v>61.11</v>
      </c>
      <c r="F24" s="13">
        <v>147.67500000000001</v>
      </c>
      <c r="G24" s="13">
        <v>677.3599999999999</v>
      </c>
    </row>
    <row r="25" spans="1:7" x14ac:dyDescent="0.25">
      <c r="B25" t="s">
        <v>6214</v>
      </c>
      <c r="C25" s="13"/>
      <c r="D25" s="13"/>
      <c r="E25" s="13">
        <v>31.97</v>
      </c>
      <c r="F25" s="13">
        <v>11.94</v>
      </c>
      <c r="G25" s="13">
        <v>43.91</v>
      </c>
    </row>
    <row r="26" spans="1:7" x14ac:dyDescent="0.25">
      <c r="B26" t="s">
        <v>6215</v>
      </c>
      <c r="C26" s="13">
        <v>24.66</v>
      </c>
      <c r="D26" s="13"/>
      <c r="E26" s="13">
        <v>25.049999999999997</v>
      </c>
      <c r="F26" s="13">
        <v>5.97</v>
      </c>
      <c r="G26" s="13">
        <v>55.679999999999993</v>
      </c>
    </row>
    <row r="27" spans="1:7" x14ac:dyDescent="0.25">
      <c r="B27" t="s">
        <v>6216</v>
      </c>
      <c r="C27" s="13">
        <v>278.15499999999997</v>
      </c>
      <c r="D27" s="13">
        <v>366.58499999999998</v>
      </c>
      <c r="E27" s="13">
        <v>305.73999999999995</v>
      </c>
      <c r="F27" s="13">
        <v>131.44999999999999</v>
      </c>
      <c r="G27" s="13">
        <v>1081.93</v>
      </c>
    </row>
    <row r="28" spans="1:7" x14ac:dyDescent="0.25">
      <c r="B28" t="s">
        <v>6217</v>
      </c>
      <c r="C28" s="13">
        <v>349.94499999999994</v>
      </c>
      <c r="D28" s="13">
        <v>142.56</v>
      </c>
      <c r="E28" s="13">
        <v>227.89999999999998</v>
      </c>
      <c r="F28" s="13">
        <v>77.234999999999999</v>
      </c>
      <c r="G28" s="13">
        <v>797.64</v>
      </c>
    </row>
    <row r="29" spans="1:7" x14ac:dyDescent="0.25">
      <c r="B29" t="s">
        <v>6218</v>
      </c>
      <c r="C29" s="13">
        <v>71.98</v>
      </c>
      <c r="D29" s="13">
        <v>130.08499999999998</v>
      </c>
      <c r="E29" s="13">
        <v>23.31</v>
      </c>
      <c r="F29" s="13">
        <v>59.194999999999993</v>
      </c>
      <c r="G29" s="13">
        <v>284.57</v>
      </c>
    </row>
    <row r="30" spans="1:7" x14ac:dyDescent="0.25">
      <c r="A30" t="s">
        <v>6222</v>
      </c>
      <c r="C30" s="13">
        <v>1648.9849999999999</v>
      </c>
      <c r="D30" s="13">
        <v>1779.4399999999998</v>
      </c>
      <c r="E30" s="13">
        <v>1441.02</v>
      </c>
      <c r="F30" s="13">
        <v>829.20000000000027</v>
      </c>
      <c r="G30" s="13">
        <v>5698.6449999999995</v>
      </c>
    </row>
    <row r="31" spans="1:7" x14ac:dyDescent="0.25">
      <c r="A31" t="s">
        <v>6205</v>
      </c>
      <c r="B31" t="s">
        <v>6207</v>
      </c>
      <c r="C31" s="13">
        <v>151.875</v>
      </c>
      <c r="D31" s="13">
        <v>127.47499999999999</v>
      </c>
      <c r="E31" s="13">
        <v>78.63</v>
      </c>
      <c r="F31" s="13">
        <v>124.37499999999999</v>
      </c>
      <c r="G31" s="13">
        <v>482.35500000000002</v>
      </c>
    </row>
    <row r="32" spans="1:7" x14ac:dyDescent="0.25">
      <c r="B32" t="s">
        <v>6208</v>
      </c>
      <c r="C32" s="13">
        <v>172.2</v>
      </c>
      <c r="D32" s="13">
        <v>235.65</v>
      </c>
      <c r="E32" s="13">
        <v>7.77</v>
      </c>
      <c r="F32" s="13">
        <v>64.44</v>
      </c>
      <c r="G32" s="13">
        <v>480.06</v>
      </c>
    </row>
    <row r="33" spans="1:7" x14ac:dyDescent="0.25">
      <c r="B33" t="s">
        <v>6209</v>
      </c>
      <c r="C33" s="13">
        <v>225.89999999999998</v>
      </c>
      <c r="D33" s="13">
        <v>160.73999999999998</v>
      </c>
      <c r="E33" s="13">
        <v>126.90999999999998</v>
      </c>
      <c r="F33" s="13">
        <v>89.534999999999982</v>
      </c>
      <c r="G33" s="13">
        <v>603.08499999999992</v>
      </c>
    </row>
    <row r="34" spans="1:7" x14ac:dyDescent="0.25">
      <c r="B34" t="s">
        <v>6210</v>
      </c>
      <c r="C34" s="13">
        <v>39.42</v>
      </c>
      <c r="D34" s="13">
        <v>233.23</v>
      </c>
      <c r="E34" s="13">
        <v>225.92499999999998</v>
      </c>
      <c r="F34" s="13">
        <v>82.339999999999989</v>
      </c>
      <c r="G34" s="13">
        <v>580.91499999999996</v>
      </c>
    </row>
    <row r="35" spans="1:7" x14ac:dyDescent="0.25">
      <c r="B35" t="s">
        <v>6211</v>
      </c>
      <c r="C35" s="13">
        <v>91.5</v>
      </c>
      <c r="D35" s="13">
        <v>38.370000000000005</v>
      </c>
      <c r="E35" s="13">
        <v>3.8849999999999998</v>
      </c>
      <c r="F35" s="13">
        <v>88.07</v>
      </c>
      <c r="G35" s="13">
        <v>221.82499999999999</v>
      </c>
    </row>
    <row r="36" spans="1:7" x14ac:dyDescent="0.25">
      <c r="B36" t="s">
        <v>6212</v>
      </c>
      <c r="C36" s="13">
        <v>150.68499999999997</v>
      </c>
      <c r="D36" s="13">
        <v>123.83000000000001</v>
      </c>
      <c r="E36" s="13">
        <v>21.825000000000003</v>
      </c>
      <c r="F36" s="13"/>
      <c r="G36" s="13">
        <v>296.33999999999997</v>
      </c>
    </row>
    <row r="37" spans="1:7" x14ac:dyDescent="0.25">
      <c r="B37" t="s">
        <v>6213</v>
      </c>
      <c r="C37" s="13"/>
      <c r="D37" s="13">
        <v>268.87499999999994</v>
      </c>
      <c r="E37" s="13">
        <v>8.73</v>
      </c>
      <c r="F37" s="13">
        <v>53.699999999999996</v>
      </c>
      <c r="G37" s="13">
        <v>331.30499999999995</v>
      </c>
    </row>
    <row r="38" spans="1:7" x14ac:dyDescent="0.25">
      <c r="B38" t="s">
        <v>6214</v>
      </c>
      <c r="C38" s="13">
        <v>168.10499999999999</v>
      </c>
      <c r="D38" s="13">
        <v>207.26</v>
      </c>
      <c r="E38" s="13"/>
      <c r="F38" s="13">
        <v>175.54999999999995</v>
      </c>
      <c r="G38" s="13">
        <v>550.91499999999996</v>
      </c>
    </row>
    <row r="39" spans="1:7" x14ac:dyDescent="0.25">
      <c r="B39" t="s">
        <v>6215</v>
      </c>
      <c r="C39" s="13">
        <v>173.41499999999999</v>
      </c>
      <c r="D39" s="13">
        <v>238.27500000000003</v>
      </c>
      <c r="E39" s="13">
        <v>46.62</v>
      </c>
      <c r="F39" s="13">
        <v>35.849999999999994</v>
      </c>
      <c r="G39" s="13">
        <v>494.16000000000008</v>
      </c>
    </row>
    <row r="40" spans="1:7" x14ac:dyDescent="0.25">
      <c r="B40" t="s">
        <v>6216</v>
      </c>
      <c r="C40" s="13">
        <v>56.07</v>
      </c>
      <c r="D40" s="13"/>
      <c r="E40" s="13">
        <v>299.07</v>
      </c>
      <c r="F40" s="13">
        <v>141.08500000000001</v>
      </c>
      <c r="G40" s="13">
        <v>496.22500000000002</v>
      </c>
    </row>
    <row r="41" spans="1:7" x14ac:dyDescent="0.25">
      <c r="B41" t="s">
        <v>6217</v>
      </c>
      <c r="C41" s="13">
        <v>260.01</v>
      </c>
      <c r="D41" s="13">
        <v>106.02000000000001</v>
      </c>
      <c r="E41" s="13">
        <v>262.72000000000003</v>
      </c>
      <c r="F41" s="13">
        <v>189.47499999999999</v>
      </c>
      <c r="G41" s="13">
        <v>818.22500000000002</v>
      </c>
    </row>
    <row r="42" spans="1:7" x14ac:dyDescent="0.25">
      <c r="B42" t="s">
        <v>6218</v>
      </c>
      <c r="C42" s="13">
        <v>197.61499999999998</v>
      </c>
      <c r="D42" s="13">
        <v>18.225000000000001</v>
      </c>
      <c r="E42" s="13">
        <v>241.85</v>
      </c>
      <c r="F42" s="13">
        <v>26.849999999999998</v>
      </c>
      <c r="G42" s="13">
        <v>484.53999999999996</v>
      </c>
    </row>
    <row r="43" spans="1:7" x14ac:dyDescent="0.25">
      <c r="A43" t="s">
        <v>6223</v>
      </c>
      <c r="C43" s="13">
        <v>1686.7949999999998</v>
      </c>
      <c r="D43" s="13">
        <v>1757.95</v>
      </c>
      <c r="E43" s="13">
        <v>1323.9349999999999</v>
      </c>
      <c r="F43" s="13">
        <v>1071.2699999999998</v>
      </c>
      <c r="G43" s="13">
        <v>5839.9500000000007</v>
      </c>
    </row>
    <row r="44" spans="1:7" x14ac:dyDescent="0.25">
      <c r="A44" t="s">
        <v>6206</v>
      </c>
      <c r="B44" t="s">
        <v>6207</v>
      </c>
      <c r="C44" s="13">
        <v>82.634999999999991</v>
      </c>
      <c r="D44" s="13">
        <v>93.960000000000008</v>
      </c>
      <c r="E44" s="13">
        <v>380.43499999999995</v>
      </c>
      <c r="F44" s="13">
        <v>78.034999999999997</v>
      </c>
      <c r="G44" s="13">
        <v>635.06499999999994</v>
      </c>
    </row>
    <row r="45" spans="1:7" x14ac:dyDescent="0.25">
      <c r="B45" t="s">
        <v>6208</v>
      </c>
      <c r="C45" s="13">
        <v>65.67</v>
      </c>
      <c r="D45" s="13">
        <v>4.125</v>
      </c>
      <c r="E45" s="13">
        <v>23.774999999999999</v>
      </c>
      <c r="F45" s="13"/>
      <c r="G45" s="13">
        <v>93.57</v>
      </c>
    </row>
    <row r="46" spans="1:7" x14ac:dyDescent="0.25">
      <c r="B46" t="s">
        <v>6209</v>
      </c>
      <c r="C46" s="13">
        <v>232.76</v>
      </c>
      <c r="D46" s="13">
        <v>28.395</v>
      </c>
      <c r="E46" s="13">
        <v>458.14499999999998</v>
      </c>
      <c r="F46" s="13">
        <v>240.34999999999997</v>
      </c>
      <c r="G46" s="13">
        <v>959.64999999999986</v>
      </c>
    </row>
    <row r="47" spans="1:7" x14ac:dyDescent="0.25">
      <c r="B47" t="s">
        <v>6210</v>
      </c>
      <c r="C47" s="13">
        <v>190.125</v>
      </c>
      <c r="D47" s="13">
        <v>220.45499999999996</v>
      </c>
      <c r="E47" s="13">
        <v>42.734999999999999</v>
      </c>
      <c r="F47" s="13">
        <v>119.04499999999999</v>
      </c>
      <c r="G47" s="13">
        <v>572.3599999999999</v>
      </c>
    </row>
    <row r="48" spans="1:7" x14ac:dyDescent="0.25">
      <c r="B48" t="s">
        <v>6211</v>
      </c>
      <c r="C48" s="13">
        <v>92.389999999999986</v>
      </c>
      <c r="D48" s="13">
        <v>141.95499999999998</v>
      </c>
      <c r="E48" s="13">
        <v>79.180000000000007</v>
      </c>
      <c r="F48" s="13">
        <v>95.6</v>
      </c>
      <c r="G48" s="13">
        <v>409.125</v>
      </c>
    </row>
    <row r="49" spans="1:7" x14ac:dyDescent="0.25">
      <c r="B49" t="s">
        <v>6212</v>
      </c>
      <c r="C49" s="13">
        <v>47.76</v>
      </c>
      <c r="D49" s="13">
        <v>189.68</v>
      </c>
      <c r="E49" s="13">
        <v>8.73</v>
      </c>
      <c r="F49" s="13">
        <v>138.72499999999997</v>
      </c>
      <c r="G49" s="13">
        <v>384.89499999999998</v>
      </c>
    </row>
    <row r="50" spans="1:7" x14ac:dyDescent="0.25">
      <c r="B50" t="s">
        <v>6213</v>
      </c>
      <c r="C50" s="13">
        <v>81.534999999999997</v>
      </c>
      <c r="D50" s="13">
        <v>165.41499999999996</v>
      </c>
      <c r="E50" s="13"/>
      <c r="F50" s="13">
        <v>65.669999999999987</v>
      </c>
      <c r="G50" s="13">
        <v>312.61999999999995</v>
      </c>
    </row>
    <row r="51" spans="1:7" x14ac:dyDescent="0.25">
      <c r="B51" t="s">
        <v>6214</v>
      </c>
      <c r="C51" s="13">
        <v>29.784999999999997</v>
      </c>
      <c r="D51" s="13">
        <v>41.25</v>
      </c>
      <c r="E51" s="13"/>
      <c r="F51" s="13">
        <v>45.379999999999995</v>
      </c>
      <c r="G51" s="13">
        <v>116.41499999999999</v>
      </c>
    </row>
    <row r="52" spans="1:7" x14ac:dyDescent="0.25">
      <c r="A52" t="s">
        <v>6224</v>
      </c>
      <c r="C52" s="13">
        <v>822.66</v>
      </c>
      <c r="D52" s="13">
        <v>885.2349999999999</v>
      </c>
      <c r="E52" s="13">
        <v>993</v>
      </c>
      <c r="F52" s="13">
        <v>782.80499999999984</v>
      </c>
      <c r="G52" s="13">
        <v>3483.6999999999994</v>
      </c>
    </row>
    <row r="53" spans="1:7" x14ac:dyDescent="0.25">
      <c r="A53" t="s">
        <v>6202</v>
      </c>
      <c r="C53" s="13">
        <v>5398.97</v>
      </c>
      <c r="D53" s="13">
        <v>6124.1750000000002</v>
      </c>
      <c r="E53" s="13">
        <v>5238.0900000000011</v>
      </c>
      <c r="F53" s="13">
        <v>4156.6149999999998</v>
      </c>
      <c r="G53" s="13">
        <v>20917.850000000002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459EB-860D-4AAF-B4F0-8B71192FDD6B}">
  <dimension ref="A3:B7"/>
  <sheetViews>
    <sheetView workbookViewId="0">
      <selection activeCell="B4" sqref="B4"/>
    </sheetView>
  </sheetViews>
  <sheetFormatPr defaultRowHeight="15" x14ac:dyDescent="0.25"/>
  <cols>
    <col min="1" max="1" width="15.42578125" bestFit="1" customWidth="1"/>
    <col min="2" max="3" width="12.140625" bestFit="1" customWidth="1"/>
    <col min="4" max="6" width="20" bestFit="1" customWidth="1"/>
    <col min="7" max="7" width="11.28515625" bestFit="1" customWidth="1"/>
  </cols>
  <sheetData>
    <row r="3" spans="1:2" x14ac:dyDescent="0.25">
      <c r="A3" s="11" t="s">
        <v>7</v>
      </c>
      <c r="B3" t="s">
        <v>6229</v>
      </c>
    </row>
    <row r="4" spans="1:2" x14ac:dyDescent="0.25">
      <c r="A4" t="s">
        <v>28</v>
      </c>
      <c r="B4" s="14">
        <v>886.12000000000012</v>
      </c>
    </row>
    <row r="5" spans="1:2" x14ac:dyDescent="0.25">
      <c r="A5" t="s">
        <v>318</v>
      </c>
      <c r="B5" s="14">
        <v>3566.9400000000005</v>
      </c>
    </row>
    <row r="6" spans="1:2" x14ac:dyDescent="0.25">
      <c r="A6" t="s">
        <v>19</v>
      </c>
      <c r="B6" s="14">
        <v>16464.789999999994</v>
      </c>
    </row>
    <row r="7" spans="1:2" x14ac:dyDescent="0.25">
      <c r="A7" t="s">
        <v>6202</v>
      </c>
      <c r="B7" s="14">
        <v>20917.849999999995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0EE5F-2399-4749-90A9-C8F3CC7E3B29}">
  <dimension ref="A3:B9"/>
  <sheetViews>
    <sheetView workbookViewId="0">
      <selection activeCell="A3" sqref="A3"/>
    </sheetView>
  </sheetViews>
  <sheetFormatPr defaultRowHeight="15" x14ac:dyDescent="0.25"/>
  <cols>
    <col min="1" max="1" width="17.7109375" bestFit="1" customWidth="1"/>
    <col min="2" max="3" width="12.140625" bestFit="1" customWidth="1"/>
    <col min="4" max="6" width="20" bestFit="1" customWidth="1"/>
    <col min="7" max="7" width="11.28515625" bestFit="1" customWidth="1"/>
  </cols>
  <sheetData>
    <row r="3" spans="1:2" x14ac:dyDescent="0.25">
      <c r="A3" s="11" t="s">
        <v>4</v>
      </c>
      <c r="B3" t="s">
        <v>6229</v>
      </c>
    </row>
    <row r="4" spans="1:2" x14ac:dyDescent="0.25">
      <c r="A4" t="s">
        <v>1472</v>
      </c>
      <c r="B4" s="14">
        <v>204.92999999999995</v>
      </c>
    </row>
    <row r="5" spans="1:2" x14ac:dyDescent="0.25">
      <c r="A5" t="s">
        <v>2177</v>
      </c>
      <c r="B5" s="14">
        <v>204.92999999999995</v>
      </c>
    </row>
    <row r="6" spans="1:2" x14ac:dyDescent="0.25">
      <c r="A6" t="s">
        <v>3195</v>
      </c>
      <c r="B6" s="14">
        <v>206.59999999999997</v>
      </c>
    </row>
    <row r="7" spans="1:2" x14ac:dyDescent="0.25">
      <c r="A7" t="s">
        <v>5075</v>
      </c>
      <c r="B7" s="14">
        <v>246.20999999999998</v>
      </c>
    </row>
    <row r="8" spans="1:2" x14ac:dyDescent="0.25">
      <c r="A8" t="s">
        <v>5765</v>
      </c>
      <c r="B8" s="14">
        <v>307.04499999999996</v>
      </c>
    </row>
    <row r="9" spans="1:2" x14ac:dyDescent="0.25">
      <c r="A9" t="s">
        <v>6202</v>
      </c>
      <c r="B9" s="14">
        <v>1169.7149999999999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F2A62-7827-4FD1-AD53-A685F213E510}">
  <dimension ref="A1:A16"/>
  <sheetViews>
    <sheetView showGridLines="0" tabSelected="1" workbookViewId="0">
      <selection activeCell="Z8" sqref="Z8"/>
    </sheetView>
  </sheetViews>
  <sheetFormatPr defaultRowHeight="15" x14ac:dyDescent="0.25"/>
  <cols>
    <col min="1" max="1" width="1.7109375" customWidth="1"/>
  </cols>
  <sheetData>
    <row r="1" ht="5.0999999999999996" customHeight="1" x14ac:dyDescent="0.25"/>
    <row r="14" customFormat="1" x14ac:dyDescent="0.25"/>
    <row r="15" customFormat="1" x14ac:dyDescent="0.25"/>
    <row r="16"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P3" sqref="P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28515625" bestFit="1" customWidth="1"/>
    <col min="12" max="12" width="11.28515625" customWidth="1"/>
    <col min="13" max="13" width="10" customWidth="1"/>
    <col min="14" max="14" width="18.85546875" customWidth="1"/>
    <col min="15" max="15" width="18.140625" customWidth="1"/>
    <col min="16" max="16" width="14" bestFit="1" customWidth="1"/>
  </cols>
  <sheetData>
    <row r="1" spans="1:16" x14ac:dyDescent="0.25">
      <c r="A1" s="4" t="s">
        <v>0</v>
      </c>
      <c r="B1" s="4" t="s">
        <v>1</v>
      </c>
      <c r="C1" s="4" t="s">
        <v>3</v>
      </c>
      <c r="D1" s="4" t="s">
        <v>11</v>
      </c>
      <c r="E1" s="4" t="s">
        <v>14</v>
      </c>
      <c r="F1" s="4" t="s">
        <v>4</v>
      </c>
      <c r="G1" s="4" t="s">
        <v>2</v>
      </c>
      <c r="H1" s="4" t="s">
        <v>7</v>
      </c>
      <c r="I1" s="4" t="s">
        <v>9</v>
      </c>
      <c r="J1" s="4" t="s">
        <v>10</v>
      </c>
      <c r="K1" s="4" t="s">
        <v>12</v>
      </c>
      <c r="L1" s="4" t="s">
        <v>13</v>
      </c>
      <c r="M1" s="4" t="s">
        <v>15</v>
      </c>
      <c r="N1" s="4" t="s">
        <v>6200</v>
      </c>
      <c r="O1" s="4" t="s">
        <v>6201</v>
      </c>
      <c r="P1" s="4" t="s">
        <v>6189</v>
      </c>
    </row>
    <row r="2" spans="1:16" x14ac:dyDescent="0.25">
      <c r="A2" s="2" t="s">
        <v>490</v>
      </c>
      <c r="B2" s="8">
        <v>43713</v>
      </c>
      <c r="C2" s="2" t="s">
        <v>491</v>
      </c>
      <c r="D2" t="s">
        <v>6138</v>
      </c>
      <c r="E2" s="2">
        <v>2</v>
      </c>
      <c r="F2" s="2" t="str">
        <f>_xlfn.XLOOKUP(orders!C2,customers!$A$1:$A$1001,customers!$B$1:$B$1001,,0)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9">
        <f>INDEX(products!$A$1:$G$49,MATCH(orders!$D2,products!$A$1:$A$49,0),MATCH(orders!K$1,products!$A$1:$G$1,0))</f>
        <v>1</v>
      </c>
      <c r="L2" s="10">
        <f>INDEX(products!$A$1:$G$49,MATCH(orders!$D2,products!$A$1:$A$49,0),MATCH(orders!L$1,products!$A$1:$G$1,0))</f>
        <v>9.9499999999999993</v>
      </c>
      <c r="M2" s="10">
        <f>L2*E2</f>
        <v>19.899999999999999</v>
      </c>
      <c r="N2" t="str">
        <f>IF(I2="Rob", "Robusta", IF(I2="Exc","Excelsa", IF(I2="Ara","Arabica", IF(I2="Lib","Liberica",""))))</f>
        <v>Robusta</v>
      </c>
      <c r="O2" t="str">
        <f>IF(J2="M", "Medium", IF(J2="L","Light",IF(J2="D","Dark","")))</f>
        <v>Medium</v>
      </c>
      <c r="P2" t="str">
        <f>_xlfn.XLOOKUP(Table1[[#This Row],[Customer ID]],customers!$A$1:$A$1001,customers!$I$1:$I$1001,,0)</f>
        <v>Yes</v>
      </c>
    </row>
    <row r="3" spans="1:16" x14ac:dyDescent="0.25">
      <c r="A3" s="2" t="s">
        <v>490</v>
      </c>
      <c r="B3" s="8">
        <v>43713</v>
      </c>
      <c r="C3" s="2" t="s">
        <v>491</v>
      </c>
      <c r="D3" t="s">
        <v>6139</v>
      </c>
      <c r="E3" s="2">
        <v>5</v>
      </c>
      <c r="F3" s="2" t="str">
        <f>_xlfn.XLOOKUP(orders!C3,customers!$A$1:$A$1001,customers!$B$1:$B$1001,,0)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9">
        <f>INDEX(products!$A$1:$G$49,MATCH(orders!$D3,products!$A$1:$A$49,0),MATCH(orders!K$1,products!$A$1:$G$1,0))</f>
        <v>0.5</v>
      </c>
      <c r="L3" s="10">
        <f>INDEX(products!$A$1:$G$49,MATCH(orders!$D3,products!$A$1:$A$49,0),MATCH(orders!L$1,products!$A$1:$G$1,0))</f>
        <v>8.25</v>
      </c>
      <c r="M3" s="10">
        <f t="shared" ref="M3:M66" si="0">L3*E3</f>
        <v>41.25</v>
      </c>
      <c r="N3" t="str">
        <f t="shared" ref="N3:N66" si="1">IF(I3="Rob", "Robusta", IF(I3="Exc","Excelsa", IF(I3="Ara","Arabica", IF(I3="Lib","Liberica",""))))</f>
        <v>Excelsa</v>
      </c>
      <c r="O3" t="str">
        <f t="shared" ref="O3:O66" si="2">IF(J3="M", "Medium", IF(J3="L","Light",IF(J3="D","Dark","")))</f>
        <v>Medium</v>
      </c>
      <c r="P3" t="str">
        <f>_xlfn.XLOOKUP(Table1[[#This Row],[Customer ID]],customers!$A$1:$A$1001,customers!$I$1:$I$1001,,0)</f>
        <v>Yes</v>
      </c>
    </row>
    <row r="4" spans="1:16" x14ac:dyDescent="0.25">
      <c r="A4" s="2" t="s">
        <v>501</v>
      </c>
      <c r="B4" s="8">
        <v>44364</v>
      </c>
      <c r="C4" s="2" t="s">
        <v>502</v>
      </c>
      <c r="D4" t="s">
        <v>6140</v>
      </c>
      <c r="E4" s="2">
        <v>1</v>
      </c>
      <c r="F4" s="2" t="str">
        <f>_xlfn.XLOOKUP(orders!C4,customers!$A$1:$A$1001,customers!$B$1:$B$1001,,0)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9">
        <f>INDEX(products!$A$1:$G$49,MATCH(orders!$D4,products!$A$1:$A$49,0),MATCH(orders!K$1,products!$A$1:$G$1,0))</f>
        <v>1</v>
      </c>
      <c r="L4" s="10">
        <f>INDEX(products!$A$1:$G$49,MATCH(orders!$D4,products!$A$1:$A$49,0),MATCH(orders!L$1,products!$A$1:$G$1,0))</f>
        <v>12.95</v>
      </c>
      <c r="M4" s="10">
        <f t="shared" si="0"/>
        <v>12.95</v>
      </c>
      <c r="N4" t="str">
        <f t="shared" si="1"/>
        <v>Arabica</v>
      </c>
      <c r="O4" t="str">
        <f t="shared" si="2"/>
        <v>Light</v>
      </c>
      <c r="P4" t="str">
        <f>_xlfn.XLOOKUP(Table1[[#This Row],[Customer ID]],customers!$A$1:$A$1001,customers!$I$1:$I$1001,,0)</f>
        <v>Yes</v>
      </c>
    </row>
    <row r="5" spans="1:16" x14ac:dyDescent="0.25">
      <c r="A5" s="2" t="s">
        <v>512</v>
      </c>
      <c r="B5" s="8">
        <v>44392</v>
      </c>
      <c r="C5" s="2" t="s">
        <v>513</v>
      </c>
      <c r="D5" t="s">
        <v>6141</v>
      </c>
      <c r="E5" s="2">
        <v>2</v>
      </c>
      <c r="F5" s="2" t="str">
        <f>_xlfn.XLOOKUP(orders!C5,customers!$A$1:$A$1001,customers!$B$1:$B$1001,,0)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9">
        <f>INDEX(products!$A$1:$G$49,MATCH(orders!$D5,products!$A$1:$A$49,0),MATCH(orders!K$1,products!$A$1:$G$1,0))</f>
        <v>1</v>
      </c>
      <c r="L5" s="10">
        <f>INDEX(products!$A$1:$G$49,MATCH(orders!$D5,products!$A$1:$A$49,0),MATCH(orders!L$1,products!$A$1:$G$1,0))</f>
        <v>13.75</v>
      </c>
      <c r="M5" s="10">
        <f t="shared" si="0"/>
        <v>27.5</v>
      </c>
      <c r="N5" t="str">
        <f t="shared" si="1"/>
        <v>Excelsa</v>
      </c>
      <c r="O5" t="str">
        <f t="shared" si="2"/>
        <v>Medium</v>
      </c>
      <c r="P5" t="str">
        <f>_xlfn.XLOOKUP(Table1[[#This Row],[Customer ID]],customers!$A$1:$A$1001,customers!$I$1:$I$1001,,0)</f>
        <v>No</v>
      </c>
    </row>
    <row r="6" spans="1:16" x14ac:dyDescent="0.25">
      <c r="A6" s="2" t="s">
        <v>512</v>
      </c>
      <c r="B6" s="8">
        <v>44392</v>
      </c>
      <c r="C6" s="2" t="s">
        <v>513</v>
      </c>
      <c r="D6" t="s">
        <v>6142</v>
      </c>
      <c r="E6" s="2">
        <v>2</v>
      </c>
      <c r="F6" s="2" t="str">
        <f>_xlfn.XLOOKUP(orders!C6,customers!$A$1:$A$1001,customers!$B$1:$B$1001,,0)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9">
        <f>INDEX(products!$A$1:$G$49,MATCH(orders!$D6,products!$A$1:$A$49,0),MATCH(orders!K$1,products!$A$1:$G$1,0))</f>
        <v>2.5</v>
      </c>
      <c r="L6" s="10">
        <f>INDEX(products!$A$1:$G$49,MATCH(orders!$D6,products!$A$1:$A$49,0),MATCH(orders!L$1,products!$A$1:$G$1,0))</f>
        <v>27.484999999999996</v>
      </c>
      <c r="M6" s="10">
        <f t="shared" si="0"/>
        <v>54.969999999999992</v>
      </c>
      <c r="N6" t="str">
        <f t="shared" si="1"/>
        <v>Robusta</v>
      </c>
      <c r="O6" t="str">
        <f t="shared" si="2"/>
        <v>Light</v>
      </c>
      <c r="P6" t="str">
        <f>_xlfn.XLOOKUP(Table1[[#This Row],[Customer ID]],customers!$A$1:$A$1001,customers!$I$1:$I$1001,,0)</f>
        <v>No</v>
      </c>
    </row>
    <row r="7" spans="1:16" x14ac:dyDescent="0.25">
      <c r="A7" s="2" t="s">
        <v>519</v>
      </c>
      <c r="B7" s="8">
        <v>44412</v>
      </c>
      <c r="C7" s="2" t="s">
        <v>520</v>
      </c>
      <c r="D7" t="s">
        <v>6143</v>
      </c>
      <c r="E7" s="2">
        <v>3</v>
      </c>
      <c r="F7" s="2" t="str">
        <f>_xlfn.XLOOKUP(orders!C7,customers!$A$1:$A$1001,customers!$B$1:$B$1001,,0)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9">
        <f>INDEX(products!$A$1:$G$49,MATCH(orders!$D7,products!$A$1:$A$49,0),MATCH(orders!K$1,products!$A$1:$G$1,0))</f>
        <v>1</v>
      </c>
      <c r="L7" s="10">
        <f>INDEX(products!$A$1:$G$49,MATCH(orders!$D7,products!$A$1:$A$49,0),MATCH(orders!L$1,products!$A$1:$G$1,0))</f>
        <v>12.95</v>
      </c>
      <c r="M7" s="10">
        <f t="shared" si="0"/>
        <v>38.849999999999994</v>
      </c>
      <c r="N7" t="str">
        <f t="shared" si="1"/>
        <v>Liberica</v>
      </c>
      <c r="O7" t="str">
        <f t="shared" si="2"/>
        <v>Dark</v>
      </c>
      <c r="P7" t="str">
        <f>_xlfn.XLOOKUP(Table1[[#This Row],[Customer ID]],customers!$A$1:$A$1001,customers!$I$1:$I$1001,,0)</f>
        <v>No</v>
      </c>
    </row>
    <row r="8" spans="1:16" x14ac:dyDescent="0.25">
      <c r="A8" s="2" t="s">
        <v>524</v>
      </c>
      <c r="B8" s="8">
        <v>44582</v>
      </c>
      <c r="C8" s="2" t="s">
        <v>525</v>
      </c>
      <c r="D8" t="s">
        <v>6144</v>
      </c>
      <c r="E8" s="2">
        <v>3</v>
      </c>
      <c r="F8" s="2" t="str">
        <f>_xlfn.XLOOKUP(orders!C8,customers!$A$1:$A$1001,customers!$B$1:$B$1001,,0)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9">
        <f>INDEX(products!$A$1:$G$49,MATCH(orders!$D8,products!$A$1:$A$49,0),MATCH(orders!K$1,products!$A$1:$G$1,0))</f>
        <v>0.5</v>
      </c>
      <c r="L8" s="10">
        <f>INDEX(products!$A$1:$G$49,MATCH(orders!$D8,products!$A$1:$A$49,0),MATCH(orders!L$1,products!$A$1:$G$1,0))</f>
        <v>7.29</v>
      </c>
      <c r="M8" s="10">
        <f t="shared" si="0"/>
        <v>21.87</v>
      </c>
      <c r="N8" t="str">
        <f t="shared" si="1"/>
        <v>Excelsa</v>
      </c>
      <c r="O8" t="str">
        <f t="shared" si="2"/>
        <v>Dark</v>
      </c>
      <c r="P8" t="str">
        <f>_xlfn.XLOOKUP(Table1[[#This Row],[Customer ID]],customers!$A$1:$A$1001,customers!$I$1:$I$1001,,0)</f>
        <v>Yes</v>
      </c>
    </row>
    <row r="9" spans="1:16" x14ac:dyDescent="0.25">
      <c r="A9" s="2" t="s">
        <v>530</v>
      </c>
      <c r="B9" s="8">
        <v>44701</v>
      </c>
      <c r="C9" s="2" t="s">
        <v>531</v>
      </c>
      <c r="D9" t="s">
        <v>6145</v>
      </c>
      <c r="E9" s="2">
        <v>1</v>
      </c>
      <c r="F9" s="2" t="str">
        <f>_xlfn.XLOOKUP(orders!C9,customers!$A$1:$A$1001,customers!$B$1:$B$1001,,0)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9">
        <f>INDEX(products!$A$1:$G$49,MATCH(orders!$D9,products!$A$1:$A$49,0),MATCH(orders!K$1,products!$A$1:$G$1,0))</f>
        <v>0.2</v>
      </c>
      <c r="L9" s="10">
        <f>INDEX(products!$A$1:$G$49,MATCH(orders!$D9,products!$A$1:$A$49,0),MATCH(orders!L$1,products!$A$1:$G$1,0))</f>
        <v>4.7549999999999999</v>
      </c>
      <c r="M9" s="10">
        <f t="shared" si="0"/>
        <v>4.7549999999999999</v>
      </c>
      <c r="N9" t="str">
        <f t="shared" si="1"/>
        <v>Liberica</v>
      </c>
      <c r="O9" t="str">
        <f t="shared" si="2"/>
        <v>Light</v>
      </c>
      <c r="P9" t="str">
        <f>_xlfn.XLOOKUP(Table1[[#This Row],[Customer ID]],customers!$A$1:$A$1001,customers!$I$1:$I$1001,,0)</f>
        <v>Yes</v>
      </c>
    </row>
    <row r="10" spans="1:16" x14ac:dyDescent="0.25">
      <c r="A10" s="2" t="s">
        <v>535</v>
      </c>
      <c r="B10" s="8">
        <v>43467</v>
      </c>
      <c r="C10" s="2" t="s">
        <v>536</v>
      </c>
      <c r="D10" t="s">
        <v>6146</v>
      </c>
      <c r="E10" s="2">
        <v>3</v>
      </c>
      <c r="F10" s="2" t="str">
        <f>_xlfn.XLOOKUP(orders!C10,customers!$A$1:$A$1001,customers!$B$1:$B$1001,,0)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9">
        <f>INDEX(products!$A$1:$G$49,MATCH(orders!$D10,products!$A$1:$A$49,0),MATCH(orders!K$1,products!$A$1:$G$1,0))</f>
        <v>0.5</v>
      </c>
      <c r="L10" s="10">
        <f>INDEX(products!$A$1:$G$49,MATCH(orders!$D10,products!$A$1:$A$49,0),MATCH(orders!L$1,products!$A$1:$G$1,0))</f>
        <v>5.97</v>
      </c>
      <c r="M10" s="10">
        <f t="shared" si="0"/>
        <v>17.91</v>
      </c>
      <c r="N10" t="str">
        <f t="shared" si="1"/>
        <v>Robusta</v>
      </c>
      <c r="O10" t="str">
        <f t="shared" si="2"/>
        <v>Medium</v>
      </c>
      <c r="P10" t="str">
        <f>_xlfn.XLOOKUP(Table1[[#This Row],[Customer ID]],customers!$A$1:$A$1001,customers!$I$1:$I$1001,,0)</f>
        <v>No</v>
      </c>
    </row>
    <row r="11" spans="1:16" x14ac:dyDescent="0.25">
      <c r="A11" s="2" t="s">
        <v>541</v>
      </c>
      <c r="B11" s="8">
        <v>43713</v>
      </c>
      <c r="C11" s="2" t="s">
        <v>542</v>
      </c>
      <c r="D11" t="s">
        <v>6146</v>
      </c>
      <c r="E11" s="2">
        <v>1</v>
      </c>
      <c r="F11" s="2" t="str">
        <f>_xlfn.XLOOKUP(orders!C11,customers!$A$1:$A$1001,customers!$B$1:$B$1001,,0)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9">
        <f>INDEX(products!$A$1:$G$49,MATCH(orders!$D11,products!$A$1:$A$49,0),MATCH(orders!K$1,products!$A$1:$G$1,0))</f>
        <v>0.5</v>
      </c>
      <c r="L11" s="10">
        <f>INDEX(products!$A$1:$G$49,MATCH(orders!$D11,products!$A$1:$A$49,0),MATCH(orders!L$1,products!$A$1:$G$1,0))</f>
        <v>5.97</v>
      </c>
      <c r="M11" s="10">
        <f t="shared" si="0"/>
        <v>5.97</v>
      </c>
      <c r="N11" t="str">
        <f t="shared" si="1"/>
        <v>Robusta</v>
      </c>
      <c r="O11" t="str">
        <f t="shared" si="2"/>
        <v>Medium</v>
      </c>
      <c r="P11" t="str">
        <f>_xlfn.XLOOKUP(Table1[[#This Row],[Customer ID]],customers!$A$1:$A$1001,customers!$I$1:$I$1001,,0)</f>
        <v>No</v>
      </c>
    </row>
    <row r="12" spans="1:16" x14ac:dyDescent="0.25">
      <c r="A12" s="2" t="s">
        <v>547</v>
      </c>
      <c r="B12" s="8">
        <v>44263</v>
      </c>
      <c r="C12" s="2" t="s">
        <v>548</v>
      </c>
      <c r="D12" t="s">
        <v>6147</v>
      </c>
      <c r="E12" s="2">
        <v>4</v>
      </c>
      <c r="F12" s="2" t="str">
        <f>_xlfn.XLOOKUP(orders!C12,customers!$A$1:$A$1001,customers!$B$1:$B$1001,,0)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9">
        <f>INDEX(products!$A$1:$G$49,MATCH(orders!$D12,products!$A$1:$A$49,0),MATCH(orders!K$1,products!$A$1:$G$1,0))</f>
        <v>1</v>
      </c>
      <c r="L12" s="10">
        <f>INDEX(products!$A$1:$G$49,MATCH(orders!$D12,products!$A$1:$A$49,0),MATCH(orders!L$1,products!$A$1:$G$1,0))</f>
        <v>9.9499999999999993</v>
      </c>
      <c r="M12" s="10">
        <f t="shared" si="0"/>
        <v>39.799999999999997</v>
      </c>
      <c r="N12" t="str">
        <f t="shared" si="1"/>
        <v>Arabica</v>
      </c>
      <c r="O12" t="str">
        <f t="shared" si="2"/>
        <v>Dark</v>
      </c>
      <c r="P12" t="str">
        <f>_xlfn.XLOOKUP(Table1[[#This Row],[Customer ID]],customers!$A$1:$A$1001,customers!$I$1:$I$1001,,0)</f>
        <v>No</v>
      </c>
    </row>
    <row r="13" spans="1:16" x14ac:dyDescent="0.25">
      <c r="A13" s="2" t="s">
        <v>553</v>
      </c>
      <c r="B13" s="8">
        <v>44132</v>
      </c>
      <c r="C13" s="2" t="s">
        <v>554</v>
      </c>
      <c r="D13" t="s">
        <v>6148</v>
      </c>
      <c r="E13" s="2">
        <v>5</v>
      </c>
      <c r="F13" s="2" t="str">
        <f>_xlfn.XLOOKUP(orders!C13,customers!$A$1:$A$1001,customers!$B$1:$B$1001,,0)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9">
        <f>INDEX(products!$A$1:$G$49,MATCH(orders!$D13,products!$A$1:$A$49,0),MATCH(orders!K$1,products!$A$1:$G$1,0))</f>
        <v>2.5</v>
      </c>
      <c r="L13" s="10">
        <f>INDEX(products!$A$1:$G$49,MATCH(orders!$D13,products!$A$1:$A$49,0),MATCH(orders!L$1,products!$A$1:$G$1,0))</f>
        <v>34.154999999999994</v>
      </c>
      <c r="M13" s="10">
        <f t="shared" si="0"/>
        <v>170.77499999999998</v>
      </c>
      <c r="N13" t="str">
        <f t="shared" si="1"/>
        <v>Excelsa</v>
      </c>
      <c r="O13" t="str">
        <f t="shared" si="2"/>
        <v>Light</v>
      </c>
      <c r="P13" t="str">
        <f>_xlfn.XLOOKUP(Table1[[#This Row],[Customer ID]],customers!$A$1:$A$1001,customers!$I$1:$I$1001,,0)</f>
        <v>Yes</v>
      </c>
    </row>
    <row r="14" spans="1:16" x14ac:dyDescent="0.25">
      <c r="A14" s="2" t="s">
        <v>559</v>
      </c>
      <c r="B14" s="8">
        <v>44744</v>
      </c>
      <c r="C14" s="2" t="s">
        <v>560</v>
      </c>
      <c r="D14" t="s">
        <v>6138</v>
      </c>
      <c r="E14" s="2">
        <v>5</v>
      </c>
      <c r="F14" s="2" t="str">
        <f>_xlfn.XLOOKUP(orders!C14,customers!$A$1:$A$1001,customers!$B$1:$B$1001,,0)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9">
        <f>INDEX(products!$A$1:$G$49,MATCH(orders!$D14,products!$A$1:$A$49,0),MATCH(orders!K$1,products!$A$1:$G$1,0))</f>
        <v>1</v>
      </c>
      <c r="L14" s="10">
        <f>INDEX(products!$A$1:$G$49,MATCH(orders!$D14,products!$A$1:$A$49,0),MATCH(orders!L$1,products!$A$1:$G$1,0))</f>
        <v>9.9499999999999993</v>
      </c>
      <c r="M14" s="10">
        <f t="shared" si="0"/>
        <v>49.75</v>
      </c>
      <c r="N14" t="str">
        <f t="shared" si="1"/>
        <v>Robusta</v>
      </c>
      <c r="O14" t="str">
        <f t="shared" si="2"/>
        <v>Medium</v>
      </c>
      <c r="P14" t="str">
        <f>_xlfn.XLOOKUP(Table1[[#This Row],[Customer ID]],customers!$A$1:$A$1001,customers!$I$1:$I$1001,,0)</f>
        <v>No</v>
      </c>
    </row>
    <row r="15" spans="1:16" x14ac:dyDescent="0.25">
      <c r="A15" s="2" t="s">
        <v>565</v>
      </c>
      <c r="B15" s="8">
        <v>43973</v>
      </c>
      <c r="C15" s="2" t="s">
        <v>566</v>
      </c>
      <c r="D15" t="s">
        <v>6149</v>
      </c>
      <c r="E15" s="2">
        <v>2</v>
      </c>
      <c r="F15" s="2" t="str">
        <f>_xlfn.XLOOKUP(orders!C15,customers!$A$1:$A$1001,customers!$B$1:$B$1001,,0)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9">
        <f>INDEX(products!$A$1:$G$49,MATCH(orders!$D15,products!$A$1:$A$49,0),MATCH(orders!K$1,products!$A$1:$G$1,0))</f>
        <v>2.5</v>
      </c>
      <c r="L15" s="10">
        <f>INDEX(products!$A$1:$G$49,MATCH(orders!$D15,products!$A$1:$A$49,0),MATCH(orders!L$1,products!$A$1:$G$1,0))</f>
        <v>20.584999999999997</v>
      </c>
      <c r="M15" s="10">
        <f t="shared" si="0"/>
        <v>41.169999999999995</v>
      </c>
      <c r="N15" t="str">
        <f t="shared" si="1"/>
        <v>Robusta</v>
      </c>
      <c r="O15" t="str">
        <f t="shared" si="2"/>
        <v>Dark</v>
      </c>
      <c r="P15" t="str">
        <f>_xlfn.XLOOKUP(Table1[[#This Row],[Customer ID]],customers!$A$1:$A$1001,customers!$I$1:$I$1001,,0)</f>
        <v>No</v>
      </c>
    </row>
    <row r="16" spans="1:16" x14ac:dyDescent="0.25">
      <c r="A16" s="2" t="s">
        <v>570</v>
      </c>
      <c r="B16" s="8">
        <v>44656</v>
      </c>
      <c r="C16" s="2" t="s">
        <v>571</v>
      </c>
      <c r="D16" t="s">
        <v>6150</v>
      </c>
      <c r="E16" s="2">
        <v>3</v>
      </c>
      <c r="F16" s="2" t="str">
        <f>_xlfn.XLOOKUP(orders!C16,customers!$A$1:$A$1001,customers!$B$1:$B$1001,,0)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9">
        <f>INDEX(products!$A$1:$G$49,MATCH(orders!$D16,products!$A$1:$A$49,0),MATCH(orders!K$1,products!$A$1:$G$1,0))</f>
        <v>0.2</v>
      </c>
      <c r="L16" s="10">
        <f>INDEX(products!$A$1:$G$49,MATCH(orders!$D16,products!$A$1:$A$49,0),MATCH(orders!L$1,products!$A$1:$G$1,0))</f>
        <v>3.8849999999999998</v>
      </c>
      <c r="M16" s="10">
        <f t="shared" si="0"/>
        <v>11.654999999999999</v>
      </c>
      <c r="N16" t="str">
        <f t="shared" si="1"/>
        <v>Liberica</v>
      </c>
      <c r="O16" t="str">
        <f t="shared" si="2"/>
        <v>Dark</v>
      </c>
      <c r="P16" t="str">
        <f>_xlfn.XLOOKUP(Table1[[#This Row],[Customer ID]],customers!$A$1:$A$1001,customers!$I$1:$I$1001,,0)</f>
        <v>Yes</v>
      </c>
    </row>
    <row r="17" spans="1:16" x14ac:dyDescent="0.25">
      <c r="A17" s="2" t="s">
        <v>576</v>
      </c>
      <c r="B17" s="8">
        <v>44719</v>
      </c>
      <c r="C17" s="2" t="s">
        <v>577</v>
      </c>
      <c r="D17" t="s">
        <v>6151</v>
      </c>
      <c r="E17" s="2">
        <v>5</v>
      </c>
      <c r="F17" s="2" t="str">
        <f>_xlfn.XLOOKUP(orders!C17,customers!$A$1:$A$1001,customers!$B$1:$B$1001,,0)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9">
        <f>INDEX(products!$A$1:$G$49,MATCH(orders!$D17,products!$A$1:$A$49,0),MATCH(orders!K$1,products!$A$1:$G$1,0))</f>
        <v>2.5</v>
      </c>
      <c r="L17" s="10">
        <f>INDEX(products!$A$1:$G$49,MATCH(orders!$D17,products!$A$1:$A$49,0),MATCH(orders!L$1,products!$A$1:$G$1,0))</f>
        <v>22.884999999999998</v>
      </c>
      <c r="M17" s="10">
        <f t="shared" si="0"/>
        <v>114.42499999999998</v>
      </c>
      <c r="N17" t="str">
        <f t="shared" si="1"/>
        <v>Robusta</v>
      </c>
      <c r="O17" t="str">
        <f t="shared" si="2"/>
        <v>Medium</v>
      </c>
      <c r="P17" t="str">
        <f>_xlfn.XLOOKUP(Table1[[#This Row],[Customer ID]],customers!$A$1:$A$1001,customers!$I$1:$I$1001,,0)</f>
        <v>No</v>
      </c>
    </row>
    <row r="18" spans="1:16" x14ac:dyDescent="0.25">
      <c r="A18" s="2" t="s">
        <v>581</v>
      </c>
      <c r="B18" s="8">
        <v>43544</v>
      </c>
      <c r="C18" s="2" t="s">
        <v>582</v>
      </c>
      <c r="D18" t="s">
        <v>6152</v>
      </c>
      <c r="E18" s="2">
        <v>6</v>
      </c>
      <c r="F18" s="2" t="str">
        <f>_xlfn.XLOOKUP(orders!C18,customers!$A$1:$A$1001,customers!$B$1:$B$1001,,0)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9">
        <f>INDEX(products!$A$1:$G$49,MATCH(orders!$D18,products!$A$1:$A$49,0),MATCH(orders!K$1,products!$A$1:$G$1,0))</f>
        <v>0.2</v>
      </c>
      <c r="L18" s="10">
        <f>INDEX(products!$A$1:$G$49,MATCH(orders!$D18,products!$A$1:$A$49,0),MATCH(orders!L$1,products!$A$1:$G$1,0))</f>
        <v>3.375</v>
      </c>
      <c r="M18" s="10">
        <f t="shared" si="0"/>
        <v>20.25</v>
      </c>
      <c r="N18" t="str">
        <f t="shared" si="1"/>
        <v>Arabica</v>
      </c>
      <c r="O18" t="str">
        <f t="shared" si="2"/>
        <v>Medium</v>
      </c>
      <c r="P18" t="str">
        <f>_xlfn.XLOOKUP(Table1[[#This Row],[Customer ID]],customers!$A$1:$A$1001,customers!$I$1:$I$1001,,0)</f>
        <v>No</v>
      </c>
    </row>
    <row r="19" spans="1:16" x14ac:dyDescent="0.25">
      <c r="A19" s="2" t="s">
        <v>587</v>
      </c>
      <c r="B19" s="8">
        <v>43757</v>
      </c>
      <c r="C19" s="2" t="s">
        <v>588</v>
      </c>
      <c r="D19" t="s">
        <v>6140</v>
      </c>
      <c r="E19" s="2">
        <v>6</v>
      </c>
      <c r="F19" s="2" t="str">
        <f>_xlfn.XLOOKUP(orders!C19,customers!$A$1:$A$1001,customers!$B$1:$B$1001,,0)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9">
        <f>INDEX(products!$A$1:$G$49,MATCH(orders!$D19,products!$A$1:$A$49,0),MATCH(orders!K$1,products!$A$1:$G$1,0))</f>
        <v>1</v>
      </c>
      <c r="L19" s="10">
        <f>INDEX(products!$A$1:$G$49,MATCH(orders!$D19,products!$A$1:$A$49,0),MATCH(orders!L$1,products!$A$1:$G$1,0))</f>
        <v>12.95</v>
      </c>
      <c r="M19" s="10">
        <f t="shared" si="0"/>
        <v>77.699999999999989</v>
      </c>
      <c r="N19" t="str">
        <f t="shared" si="1"/>
        <v>Arabica</v>
      </c>
      <c r="O19" t="str">
        <f t="shared" si="2"/>
        <v>Light</v>
      </c>
      <c r="P19" t="str">
        <f>_xlfn.XLOOKUP(Table1[[#This Row],[Customer ID]],customers!$A$1:$A$1001,customers!$I$1:$I$1001,,0)</f>
        <v>No</v>
      </c>
    </row>
    <row r="20" spans="1:16" x14ac:dyDescent="0.25">
      <c r="A20" s="2" t="s">
        <v>593</v>
      </c>
      <c r="B20" s="8">
        <v>43629</v>
      </c>
      <c r="C20" s="2" t="s">
        <v>594</v>
      </c>
      <c r="D20" t="s">
        <v>6149</v>
      </c>
      <c r="E20" s="2">
        <v>4</v>
      </c>
      <c r="F20" s="2" t="str">
        <f>_xlfn.XLOOKUP(orders!C20,customers!$A$1:$A$1001,customers!$B$1:$B$1001,,0)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9">
        <f>INDEX(products!$A$1:$G$49,MATCH(orders!$D20,products!$A$1:$A$49,0),MATCH(orders!K$1,products!$A$1:$G$1,0))</f>
        <v>2.5</v>
      </c>
      <c r="L20" s="10">
        <f>INDEX(products!$A$1:$G$49,MATCH(orders!$D20,products!$A$1:$A$49,0),MATCH(orders!L$1,products!$A$1:$G$1,0))</f>
        <v>20.584999999999997</v>
      </c>
      <c r="M20" s="10">
        <f t="shared" si="0"/>
        <v>82.339999999999989</v>
      </c>
      <c r="N20" t="str">
        <f t="shared" si="1"/>
        <v>Robusta</v>
      </c>
      <c r="O20" t="str">
        <f t="shared" si="2"/>
        <v>Dark</v>
      </c>
      <c r="P20" t="str">
        <f>_xlfn.XLOOKUP(Table1[[#This Row],[Customer ID]],customers!$A$1:$A$1001,customers!$I$1:$I$1001,,0)</f>
        <v>Yes</v>
      </c>
    </row>
    <row r="21" spans="1:16" x14ac:dyDescent="0.25">
      <c r="A21" s="2" t="s">
        <v>598</v>
      </c>
      <c r="B21" s="8">
        <v>44169</v>
      </c>
      <c r="C21" s="2" t="s">
        <v>599</v>
      </c>
      <c r="D21" t="s">
        <v>6152</v>
      </c>
      <c r="E21" s="2">
        <v>5</v>
      </c>
      <c r="F21" s="2" t="str">
        <f>_xlfn.XLOOKUP(orders!C21,customers!$A$1:$A$1001,customers!$B$1:$B$1001,,0)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9">
        <f>INDEX(products!$A$1:$G$49,MATCH(orders!$D21,products!$A$1:$A$49,0),MATCH(orders!K$1,products!$A$1:$G$1,0))</f>
        <v>0.2</v>
      </c>
      <c r="L21" s="10">
        <f>INDEX(products!$A$1:$G$49,MATCH(orders!$D21,products!$A$1:$A$49,0),MATCH(orders!L$1,products!$A$1:$G$1,0))</f>
        <v>3.375</v>
      </c>
      <c r="M21" s="10">
        <f t="shared" si="0"/>
        <v>16.875</v>
      </c>
      <c r="N21" t="str">
        <f t="shared" si="1"/>
        <v>Arabica</v>
      </c>
      <c r="O21" t="str">
        <f t="shared" si="2"/>
        <v>Medium</v>
      </c>
      <c r="P21" t="str">
        <f>_xlfn.XLOOKUP(Table1[[#This Row],[Customer ID]],customers!$A$1:$A$1001,customers!$I$1:$I$1001,,0)</f>
        <v>Yes</v>
      </c>
    </row>
    <row r="22" spans="1:16" x14ac:dyDescent="0.25">
      <c r="A22" s="2" t="s">
        <v>598</v>
      </c>
      <c r="B22" s="8">
        <v>44169</v>
      </c>
      <c r="C22" s="2" t="s">
        <v>599</v>
      </c>
      <c r="D22" t="s">
        <v>6153</v>
      </c>
      <c r="E22" s="2">
        <v>4</v>
      </c>
      <c r="F22" s="2" t="str">
        <f>_xlfn.XLOOKUP(orders!C22,customers!$A$1:$A$1001,customers!$B$1:$B$1001,,0)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9">
        <f>INDEX(products!$A$1:$G$49,MATCH(orders!$D22,products!$A$1:$A$49,0),MATCH(orders!K$1,products!$A$1:$G$1,0))</f>
        <v>0.2</v>
      </c>
      <c r="L22" s="10">
        <f>INDEX(products!$A$1:$G$49,MATCH(orders!$D22,products!$A$1:$A$49,0),MATCH(orders!L$1,products!$A$1:$G$1,0))</f>
        <v>3.645</v>
      </c>
      <c r="M22" s="10">
        <f t="shared" si="0"/>
        <v>14.58</v>
      </c>
      <c r="N22" t="str">
        <f t="shared" si="1"/>
        <v>Excelsa</v>
      </c>
      <c r="O22" t="str">
        <f t="shared" si="2"/>
        <v>Dark</v>
      </c>
      <c r="P22" t="str">
        <f>_xlfn.XLOOKUP(Table1[[#This Row],[Customer ID]],customers!$A$1:$A$1001,customers!$I$1:$I$1001,,0)</f>
        <v>Yes</v>
      </c>
    </row>
    <row r="23" spans="1:16" x14ac:dyDescent="0.25">
      <c r="A23" s="2" t="s">
        <v>608</v>
      </c>
      <c r="B23" s="8">
        <v>44169</v>
      </c>
      <c r="C23" s="2" t="s">
        <v>609</v>
      </c>
      <c r="D23" t="s">
        <v>6154</v>
      </c>
      <c r="E23" s="2">
        <v>6</v>
      </c>
      <c r="F23" s="2" t="str">
        <f>_xlfn.XLOOKUP(orders!C23,customers!$A$1:$A$1001,customers!$B$1:$B$1001,,0)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9">
        <f>INDEX(products!$A$1:$G$49,MATCH(orders!$D23,products!$A$1:$A$49,0),MATCH(orders!K$1,products!$A$1:$G$1,0))</f>
        <v>0.2</v>
      </c>
      <c r="L23" s="10">
        <f>INDEX(products!$A$1:$G$49,MATCH(orders!$D23,products!$A$1:$A$49,0),MATCH(orders!L$1,products!$A$1:$G$1,0))</f>
        <v>2.9849999999999999</v>
      </c>
      <c r="M23" s="10">
        <f t="shared" si="0"/>
        <v>17.91</v>
      </c>
      <c r="N23" t="str">
        <f t="shared" si="1"/>
        <v>Arabica</v>
      </c>
      <c r="O23" t="str">
        <f t="shared" si="2"/>
        <v>Dark</v>
      </c>
      <c r="P23" t="str">
        <f>_xlfn.XLOOKUP(Table1[[#This Row],[Customer ID]],customers!$A$1:$A$1001,customers!$I$1:$I$1001,,0)</f>
        <v>No</v>
      </c>
    </row>
    <row r="24" spans="1:16" x14ac:dyDescent="0.25">
      <c r="A24" s="2" t="s">
        <v>614</v>
      </c>
      <c r="B24" s="8">
        <v>44218</v>
      </c>
      <c r="C24" s="2" t="s">
        <v>615</v>
      </c>
      <c r="D24" t="s">
        <v>6151</v>
      </c>
      <c r="E24" s="2">
        <v>4</v>
      </c>
      <c r="F24" s="2" t="str">
        <f>_xlfn.XLOOKUP(orders!C24,customers!$A$1:$A$1001,customers!$B$1:$B$1001,,0)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9">
        <f>INDEX(products!$A$1:$G$49,MATCH(orders!$D24,products!$A$1:$A$49,0),MATCH(orders!K$1,products!$A$1:$G$1,0))</f>
        <v>2.5</v>
      </c>
      <c r="L24" s="10">
        <f>INDEX(products!$A$1:$G$49,MATCH(orders!$D24,products!$A$1:$A$49,0),MATCH(orders!L$1,products!$A$1:$G$1,0))</f>
        <v>22.884999999999998</v>
      </c>
      <c r="M24" s="10">
        <f t="shared" si="0"/>
        <v>91.539999999999992</v>
      </c>
      <c r="N24" t="str">
        <f t="shared" si="1"/>
        <v>Robusta</v>
      </c>
      <c r="O24" t="str">
        <f t="shared" si="2"/>
        <v>Medium</v>
      </c>
      <c r="P24" t="str">
        <f>_xlfn.XLOOKUP(Table1[[#This Row],[Customer ID]],customers!$A$1:$A$1001,customers!$I$1:$I$1001,,0)</f>
        <v>Yes</v>
      </c>
    </row>
    <row r="25" spans="1:16" x14ac:dyDescent="0.25">
      <c r="A25" s="2" t="s">
        <v>620</v>
      </c>
      <c r="B25" s="8">
        <v>44603</v>
      </c>
      <c r="C25" s="2" t="s">
        <v>621</v>
      </c>
      <c r="D25" t="s">
        <v>6154</v>
      </c>
      <c r="E25" s="2">
        <v>4</v>
      </c>
      <c r="F25" s="2" t="str">
        <f>_xlfn.XLOOKUP(orders!C25,customers!$A$1:$A$1001,customers!$B$1:$B$1001,,0)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9">
        <f>INDEX(products!$A$1:$G$49,MATCH(orders!$D25,products!$A$1:$A$49,0),MATCH(orders!K$1,products!$A$1:$G$1,0))</f>
        <v>0.2</v>
      </c>
      <c r="L25" s="10">
        <f>INDEX(products!$A$1:$G$49,MATCH(orders!$D25,products!$A$1:$A$49,0),MATCH(orders!L$1,products!$A$1:$G$1,0))</f>
        <v>2.9849999999999999</v>
      </c>
      <c r="M25" s="10">
        <f t="shared" si="0"/>
        <v>11.94</v>
      </c>
      <c r="N25" t="str">
        <f t="shared" si="1"/>
        <v>Arabica</v>
      </c>
      <c r="O25" t="str">
        <f t="shared" si="2"/>
        <v>Dark</v>
      </c>
      <c r="P25" t="str">
        <f>_xlfn.XLOOKUP(Table1[[#This Row],[Customer ID]],customers!$A$1:$A$1001,customers!$I$1:$I$1001,,0)</f>
        <v>Yes</v>
      </c>
    </row>
    <row r="26" spans="1:16" x14ac:dyDescent="0.25">
      <c r="A26" s="2" t="s">
        <v>626</v>
      </c>
      <c r="B26" s="8">
        <v>44454</v>
      </c>
      <c r="C26" s="2" t="s">
        <v>627</v>
      </c>
      <c r="D26" t="s">
        <v>6155</v>
      </c>
      <c r="E26" s="2">
        <v>1</v>
      </c>
      <c r="F26" s="2" t="str">
        <f>_xlfn.XLOOKUP(orders!C26,customers!$A$1:$A$1001,customers!$B$1:$B$1001,,0)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9">
        <f>INDEX(products!$A$1:$G$49,MATCH(orders!$D26,products!$A$1:$A$49,0),MATCH(orders!K$1,products!$A$1:$G$1,0))</f>
        <v>1</v>
      </c>
      <c r="L26" s="10">
        <f>INDEX(products!$A$1:$G$49,MATCH(orders!$D26,products!$A$1:$A$49,0),MATCH(orders!L$1,products!$A$1:$G$1,0))</f>
        <v>11.25</v>
      </c>
      <c r="M26" s="10">
        <f t="shared" si="0"/>
        <v>11.25</v>
      </c>
      <c r="N26" t="str">
        <f t="shared" si="1"/>
        <v>Arabica</v>
      </c>
      <c r="O26" t="str">
        <f t="shared" si="2"/>
        <v>Medium</v>
      </c>
      <c r="P26" t="str">
        <f>_xlfn.XLOOKUP(Table1[[#This Row],[Customer ID]],customers!$A$1:$A$1001,customers!$I$1:$I$1001,,0)</f>
        <v>No</v>
      </c>
    </row>
    <row r="27" spans="1:16" x14ac:dyDescent="0.25">
      <c r="A27" s="2" t="s">
        <v>632</v>
      </c>
      <c r="B27" s="8">
        <v>44128</v>
      </c>
      <c r="C27" s="2" t="s">
        <v>633</v>
      </c>
      <c r="D27" t="s">
        <v>6156</v>
      </c>
      <c r="E27" s="2">
        <v>3</v>
      </c>
      <c r="F27" s="2" t="str">
        <f>_xlfn.XLOOKUP(orders!C27,customers!$A$1:$A$1001,customers!$B$1:$B$1001,,0)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9">
        <f>INDEX(products!$A$1:$G$49,MATCH(orders!$D27,products!$A$1:$A$49,0),MATCH(orders!K$1,products!$A$1:$G$1,0))</f>
        <v>0.2</v>
      </c>
      <c r="L27" s="10">
        <f>INDEX(products!$A$1:$G$49,MATCH(orders!$D27,products!$A$1:$A$49,0),MATCH(orders!L$1,products!$A$1:$G$1,0))</f>
        <v>4.125</v>
      </c>
      <c r="M27" s="10">
        <f t="shared" si="0"/>
        <v>12.375</v>
      </c>
      <c r="N27" t="str">
        <f t="shared" si="1"/>
        <v>Excelsa</v>
      </c>
      <c r="O27" t="str">
        <f t="shared" si="2"/>
        <v>Medium</v>
      </c>
      <c r="P27" t="str">
        <f>_xlfn.XLOOKUP(Table1[[#This Row],[Customer ID]],customers!$A$1:$A$1001,customers!$I$1:$I$1001,,0)</f>
        <v>Yes</v>
      </c>
    </row>
    <row r="28" spans="1:16" x14ac:dyDescent="0.25">
      <c r="A28" s="2" t="s">
        <v>637</v>
      </c>
      <c r="B28" s="8">
        <v>43516</v>
      </c>
      <c r="C28" s="2" t="s">
        <v>638</v>
      </c>
      <c r="D28" t="s">
        <v>6157</v>
      </c>
      <c r="E28" s="2">
        <v>4</v>
      </c>
      <c r="F28" s="2" t="str">
        <f>_xlfn.XLOOKUP(orders!C28,customers!$A$1:$A$1001,customers!$B$1:$B$1001,,0)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9">
        <f>INDEX(products!$A$1:$G$49,MATCH(orders!$D28,products!$A$1:$A$49,0),MATCH(orders!K$1,products!$A$1:$G$1,0))</f>
        <v>0.5</v>
      </c>
      <c r="L28" s="10">
        <f>INDEX(products!$A$1:$G$49,MATCH(orders!$D28,products!$A$1:$A$49,0),MATCH(orders!L$1,products!$A$1:$G$1,0))</f>
        <v>6.75</v>
      </c>
      <c r="M28" s="10">
        <f t="shared" si="0"/>
        <v>27</v>
      </c>
      <c r="N28" t="str">
        <f t="shared" si="1"/>
        <v>Arabica</v>
      </c>
      <c r="O28" t="str">
        <f t="shared" si="2"/>
        <v>Medium</v>
      </c>
      <c r="P28" t="str">
        <f>_xlfn.XLOOKUP(Table1[[#This Row],[Customer ID]],customers!$A$1:$A$1001,customers!$I$1:$I$1001,,0)</f>
        <v>Yes</v>
      </c>
    </row>
    <row r="29" spans="1:16" x14ac:dyDescent="0.25">
      <c r="A29" s="2" t="s">
        <v>643</v>
      </c>
      <c r="B29" s="8">
        <v>43746</v>
      </c>
      <c r="C29" s="2" t="s">
        <v>644</v>
      </c>
      <c r="D29" t="s">
        <v>6152</v>
      </c>
      <c r="E29" s="2">
        <v>5</v>
      </c>
      <c r="F29" s="2" t="str">
        <f>_xlfn.XLOOKUP(orders!C29,customers!$A$1:$A$1001,customers!$B$1:$B$1001,,0)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9">
        <f>INDEX(products!$A$1:$G$49,MATCH(orders!$D29,products!$A$1:$A$49,0),MATCH(orders!K$1,products!$A$1:$G$1,0))</f>
        <v>0.2</v>
      </c>
      <c r="L29" s="10">
        <f>INDEX(products!$A$1:$G$49,MATCH(orders!$D29,products!$A$1:$A$49,0),MATCH(orders!L$1,products!$A$1:$G$1,0))</f>
        <v>3.375</v>
      </c>
      <c r="M29" s="10">
        <f t="shared" si="0"/>
        <v>16.875</v>
      </c>
      <c r="N29" t="str">
        <f t="shared" si="1"/>
        <v>Arabica</v>
      </c>
      <c r="O29" t="str">
        <f t="shared" si="2"/>
        <v>Medium</v>
      </c>
      <c r="P29" t="str">
        <f>_xlfn.XLOOKUP(Table1[[#This Row],[Customer ID]],customers!$A$1:$A$1001,customers!$I$1:$I$1001,,0)</f>
        <v>No</v>
      </c>
    </row>
    <row r="30" spans="1:16" x14ac:dyDescent="0.25">
      <c r="A30" s="2" t="s">
        <v>649</v>
      </c>
      <c r="B30" s="8">
        <v>44775</v>
      </c>
      <c r="C30" s="2" t="s">
        <v>650</v>
      </c>
      <c r="D30" t="s">
        <v>6158</v>
      </c>
      <c r="E30" s="2">
        <v>3</v>
      </c>
      <c r="F30" s="2" t="str">
        <f>_xlfn.XLOOKUP(orders!C30,customers!$A$1:$A$1001,customers!$B$1:$B$1001,,0)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9">
        <f>INDEX(products!$A$1:$G$49,MATCH(orders!$D30,products!$A$1:$A$49,0),MATCH(orders!K$1,products!$A$1:$G$1,0))</f>
        <v>0.5</v>
      </c>
      <c r="L30" s="10">
        <f>INDEX(products!$A$1:$G$49,MATCH(orders!$D30,products!$A$1:$A$49,0),MATCH(orders!L$1,products!$A$1:$G$1,0))</f>
        <v>5.97</v>
      </c>
      <c r="M30" s="10">
        <f t="shared" si="0"/>
        <v>17.91</v>
      </c>
      <c r="N30" t="str">
        <f t="shared" si="1"/>
        <v>Arabica</v>
      </c>
      <c r="O30" t="str">
        <f t="shared" si="2"/>
        <v>Dark</v>
      </c>
      <c r="P30" t="str">
        <f>_xlfn.XLOOKUP(Table1[[#This Row],[Customer ID]],customers!$A$1:$A$1001,customers!$I$1:$I$1001,,0)</f>
        <v>No</v>
      </c>
    </row>
    <row r="31" spans="1:16" x14ac:dyDescent="0.25">
      <c r="A31" s="2" t="s">
        <v>655</v>
      </c>
      <c r="B31" s="8">
        <v>43516</v>
      </c>
      <c r="C31" s="2" t="s">
        <v>656</v>
      </c>
      <c r="D31" t="s">
        <v>6147</v>
      </c>
      <c r="E31" s="2">
        <v>4</v>
      </c>
      <c r="F31" s="2" t="str">
        <f>_xlfn.XLOOKUP(orders!C31,customers!$A$1:$A$1001,customers!$B$1:$B$1001,,0)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9">
        <f>INDEX(products!$A$1:$G$49,MATCH(orders!$D31,products!$A$1:$A$49,0),MATCH(orders!K$1,products!$A$1:$G$1,0))</f>
        <v>1</v>
      </c>
      <c r="L31" s="10">
        <f>INDEX(products!$A$1:$G$49,MATCH(orders!$D31,products!$A$1:$A$49,0),MATCH(orders!L$1,products!$A$1:$G$1,0))</f>
        <v>9.9499999999999993</v>
      </c>
      <c r="M31" s="10">
        <f t="shared" si="0"/>
        <v>39.799999999999997</v>
      </c>
      <c r="N31" t="str">
        <f t="shared" si="1"/>
        <v>Arabica</v>
      </c>
      <c r="O31" t="str">
        <f t="shared" si="2"/>
        <v>Dark</v>
      </c>
      <c r="P31" t="str">
        <f>_xlfn.XLOOKUP(Table1[[#This Row],[Customer ID]],customers!$A$1:$A$1001,customers!$I$1:$I$1001,,0)</f>
        <v>Yes</v>
      </c>
    </row>
    <row r="32" spans="1:16" x14ac:dyDescent="0.25">
      <c r="A32" s="2" t="s">
        <v>661</v>
      </c>
      <c r="B32" s="8">
        <v>44464</v>
      </c>
      <c r="C32" s="2" t="s">
        <v>662</v>
      </c>
      <c r="D32" t="s">
        <v>6159</v>
      </c>
      <c r="E32" s="2">
        <v>5</v>
      </c>
      <c r="F32" s="2" t="str">
        <f>_xlfn.XLOOKUP(orders!C32,customers!$A$1:$A$1001,customers!$B$1:$B$1001,,0)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9">
        <f>INDEX(products!$A$1:$G$49,MATCH(orders!$D32,products!$A$1:$A$49,0),MATCH(orders!K$1,products!$A$1:$G$1,0))</f>
        <v>0.2</v>
      </c>
      <c r="L32" s="10">
        <f>INDEX(products!$A$1:$G$49,MATCH(orders!$D32,products!$A$1:$A$49,0),MATCH(orders!L$1,products!$A$1:$G$1,0))</f>
        <v>4.3650000000000002</v>
      </c>
      <c r="M32" s="10">
        <f t="shared" si="0"/>
        <v>21.825000000000003</v>
      </c>
      <c r="N32" t="str">
        <f t="shared" si="1"/>
        <v>Liberica</v>
      </c>
      <c r="O32" t="str">
        <f t="shared" si="2"/>
        <v>Medium</v>
      </c>
      <c r="P32" t="str">
        <f>_xlfn.XLOOKUP(Table1[[#This Row],[Customer ID]],customers!$A$1:$A$1001,customers!$I$1:$I$1001,,0)</f>
        <v>No</v>
      </c>
    </row>
    <row r="33" spans="1:16" x14ac:dyDescent="0.25">
      <c r="A33" s="2" t="s">
        <v>661</v>
      </c>
      <c r="B33" s="8">
        <v>44464</v>
      </c>
      <c r="C33" s="2" t="s">
        <v>662</v>
      </c>
      <c r="D33" t="s">
        <v>6158</v>
      </c>
      <c r="E33" s="2">
        <v>6</v>
      </c>
      <c r="F33" s="2" t="str">
        <f>_xlfn.XLOOKUP(orders!C33,customers!$A$1:$A$1001,customers!$B$1:$B$1001,,0)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9">
        <f>INDEX(products!$A$1:$G$49,MATCH(orders!$D33,products!$A$1:$A$49,0),MATCH(orders!K$1,products!$A$1:$G$1,0))</f>
        <v>0.5</v>
      </c>
      <c r="L33" s="10">
        <f>INDEX(products!$A$1:$G$49,MATCH(orders!$D33,products!$A$1:$A$49,0),MATCH(orders!L$1,products!$A$1:$G$1,0))</f>
        <v>5.97</v>
      </c>
      <c r="M33" s="10">
        <f t="shared" si="0"/>
        <v>35.82</v>
      </c>
      <c r="N33" t="str">
        <f t="shared" si="1"/>
        <v>Arabica</v>
      </c>
      <c r="O33" t="str">
        <f t="shared" si="2"/>
        <v>Dark</v>
      </c>
      <c r="P33" t="str">
        <f>_xlfn.XLOOKUP(Table1[[#This Row],[Customer ID]],customers!$A$1:$A$1001,customers!$I$1:$I$1001,,0)</f>
        <v>No</v>
      </c>
    </row>
    <row r="34" spans="1:16" x14ac:dyDescent="0.25">
      <c r="A34" s="2" t="s">
        <v>661</v>
      </c>
      <c r="B34" s="8">
        <v>44464</v>
      </c>
      <c r="C34" s="2" t="s">
        <v>662</v>
      </c>
      <c r="D34" t="s">
        <v>6160</v>
      </c>
      <c r="E34" s="2">
        <v>6</v>
      </c>
      <c r="F34" s="2" t="str">
        <f>_xlfn.XLOOKUP(orders!C34,customers!$A$1:$A$1001,customers!$B$1:$B$1001,,0)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9">
        <f>INDEX(products!$A$1:$G$49,MATCH(orders!$D34,products!$A$1:$A$49,0),MATCH(orders!K$1,products!$A$1:$G$1,0))</f>
        <v>0.5</v>
      </c>
      <c r="L34" s="10">
        <f>INDEX(products!$A$1:$G$49,MATCH(orders!$D34,products!$A$1:$A$49,0),MATCH(orders!L$1,products!$A$1:$G$1,0))</f>
        <v>8.73</v>
      </c>
      <c r="M34" s="10">
        <f t="shared" si="0"/>
        <v>52.38</v>
      </c>
      <c r="N34" t="str">
        <f t="shared" si="1"/>
        <v>Liberica</v>
      </c>
      <c r="O34" t="str">
        <f t="shared" si="2"/>
        <v>Medium</v>
      </c>
      <c r="P34" t="str">
        <f>_xlfn.XLOOKUP(Table1[[#This Row],[Customer ID]],customers!$A$1:$A$1001,customers!$I$1:$I$1001,,0)</f>
        <v>No</v>
      </c>
    </row>
    <row r="35" spans="1:16" x14ac:dyDescent="0.25">
      <c r="A35" s="2" t="s">
        <v>676</v>
      </c>
      <c r="B35" s="8">
        <v>44394</v>
      </c>
      <c r="C35" s="2" t="s">
        <v>677</v>
      </c>
      <c r="D35" t="s">
        <v>6145</v>
      </c>
      <c r="E35" s="2">
        <v>5</v>
      </c>
      <c r="F35" s="2" t="str">
        <f>_xlfn.XLOOKUP(orders!C35,customers!$A$1:$A$1001,customers!$B$1:$B$1001,,0)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9">
        <f>INDEX(products!$A$1:$G$49,MATCH(orders!$D35,products!$A$1:$A$49,0),MATCH(orders!K$1,products!$A$1:$G$1,0))</f>
        <v>0.2</v>
      </c>
      <c r="L35" s="10">
        <f>INDEX(products!$A$1:$G$49,MATCH(orders!$D35,products!$A$1:$A$49,0),MATCH(orders!L$1,products!$A$1:$G$1,0))</f>
        <v>4.7549999999999999</v>
      </c>
      <c r="M35" s="10">
        <f t="shared" si="0"/>
        <v>23.774999999999999</v>
      </c>
      <c r="N35" t="str">
        <f t="shared" si="1"/>
        <v>Liberica</v>
      </c>
      <c r="O35" t="str">
        <f t="shared" si="2"/>
        <v>Light</v>
      </c>
      <c r="P35" t="str">
        <f>_xlfn.XLOOKUP(Table1[[#This Row],[Customer ID]],customers!$A$1:$A$1001,customers!$I$1:$I$1001,,0)</f>
        <v>No</v>
      </c>
    </row>
    <row r="36" spans="1:16" x14ac:dyDescent="0.25">
      <c r="A36" s="2" t="s">
        <v>681</v>
      </c>
      <c r="B36" s="8">
        <v>44011</v>
      </c>
      <c r="C36" s="2" t="s">
        <v>682</v>
      </c>
      <c r="D36" t="s">
        <v>6161</v>
      </c>
      <c r="E36" s="2">
        <v>6</v>
      </c>
      <c r="F36" s="2" t="str">
        <f>_xlfn.XLOOKUP(orders!C36,customers!$A$1:$A$1001,customers!$B$1:$B$1001,,0)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9">
        <f>INDEX(products!$A$1:$G$49,MATCH(orders!$D36,products!$A$1:$A$49,0),MATCH(orders!K$1,products!$A$1:$G$1,0))</f>
        <v>0.5</v>
      </c>
      <c r="L36" s="10">
        <f>INDEX(products!$A$1:$G$49,MATCH(orders!$D36,products!$A$1:$A$49,0),MATCH(orders!L$1,products!$A$1:$G$1,0))</f>
        <v>9.51</v>
      </c>
      <c r="M36" s="10">
        <f t="shared" si="0"/>
        <v>57.06</v>
      </c>
      <c r="N36" t="str">
        <f t="shared" si="1"/>
        <v>Liberica</v>
      </c>
      <c r="O36" t="str">
        <f t="shared" si="2"/>
        <v>Light</v>
      </c>
      <c r="P36" t="str">
        <f>_xlfn.XLOOKUP(Table1[[#This Row],[Customer ID]],customers!$A$1:$A$1001,customers!$I$1:$I$1001,,0)</f>
        <v>Yes</v>
      </c>
    </row>
    <row r="37" spans="1:16" x14ac:dyDescent="0.25">
      <c r="A37" s="2" t="s">
        <v>687</v>
      </c>
      <c r="B37" s="8">
        <v>44348</v>
      </c>
      <c r="C37" s="2" t="s">
        <v>688</v>
      </c>
      <c r="D37" t="s">
        <v>6158</v>
      </c>
      <c r="E37" s="2">
        <v>6</v>
      </c>
      <c r="F37" s="2" t="str">
        <f>_xlfn.XLOOKUP(orders!C37,customers!$A$1:$A$1001,customers!$B$1:$B$1001,,0)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9">
        <f>INDEX(products!$A$1:$G$49,MATCH(orders!$D37,products!$A$1:$A$49,0),MATCH(orders!K$1,products!$A$1:$G$1,0))</f>
        <v>0.5</v>
      </c>
      <c r="L37" s="10">
        <f>INDEX(products!$A$1:$G$49,MATCH(orders!$D37,products!$A$1:$A$49,0),MATCH(orders!L$1,products!$A$1:$G$1,0))</f>
        <v>5.97</v>
      </c>
      <c r="M37" s="10">
        <f t="shared" si="0"/>
        <v>35.82</v>
      </c>
      <c r="N37" t="str">
        <f t="shared" si="1"/>
        <v>Arabica</v>
      </c>
      <c r="O37" t="str">
        <f t="shared" si="2"/>
        <v>Dark</v>
      </c>
      <c r="P37" t="str">
        <f>_xlfn.XLOOKUP(Table1[[#This Row],[Customer ID]],customers!$A$1:$A$1001,customers!$I$1:$I$1001,,0)</f>
        <v>No</v>
      </c>
    </row>
    <row r="38" spans="1:16" x14ac:dyDescent="0.25">
      <c r="A38" s="2" t="s">
        <v>693</v>
      </c>
      <c r="B38" s="8">
        <v>44233</v>
      </c>
      <c r="C38" s="2" t="s">
        <v>694</v>
      </c>
      <c r="D38" t="s">
        <v>6159</v>
      </c>
      <c r="E38" s="2">
        <v>2</v>
      </c>
      <c r="F38" s="2" t="str">
        <f>_xlfn.XLOOKUP(orders!C38,customers!$A$1:$A$1001,customers!$B$1:$B$1001,,0)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9">
        <f>INDEX(products!$A$1:$G$49,MATCH(orders!$D38,products!$A$1:$A$49,0),MATCH(orders!K$1,products!$A$1:$G$1,0))</f>
        <v>0.2</v>
      </c>
      <c r="L38" s="10">
        <f>INDEX(products!$A$1:$G$49,MATCH(orders!$D38,products!$A$1:$A$49,0),MATCH(orders!L$1,products!$A$1:$G$1,0))</f>
        <v>4.3650000000000002</v>
      </c>
      <c r="M38" s="10">
        <f t="shared" si="0"/>
        <v>8.73</v>
      </c>
      <c r="N38" t="str">
        <f t="shared" si="1"/>
        <v>Liberica</v>
      </c>
      <c r="O38" t="str">
        <f t="shared" si="2"/>
        <v>Medium</v>
      </c>
      <c r="P38" t="str">
        <f>_xlfn.XLOOKUP(Table1[[#This Row],[Customer ID]],customers!$A$1:$A$1001,customers!$I$1:$I$1001,,0)</f>
        <v>No</v>
      </c>
    </row>
    <row r="39" spans="1:16" x14ac:dyDescent="0.25">
      <c r="A39" s="2" t="s">
        <v>699</v>
      </c>
      <c r="B39" s="8">
        <v>43580</v>
      </c>
      <c r="C39" s="2" t="s">
        <v>700</v>
      </c>
      <c r="D39" t="s">
        <v>6161</v>
      </c>
      <c r="E39" s="2">
        <v>3</v>
      </c>
      <c r="F39" s="2" t="str">
        <f>_xlfn.XLOOKUP(orders!C39,customers!$A$1:$A$1001,customers!$B$1:$B$1001,,0)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9">
        <f>INDEX(products!$A$1:$G$49,MATCH(orders!$D39,products!$A$1:$A$49,0),MATCH(orders!K$1,products!$A$1:$G$1,0))</f>
        <v>0.5</v>
      </c>
      <c r="L39" s="10">
        <f>INDEX(products!$A$1:$G$49,MATCH(orders!$D39,products!$A$1:$A$49,0),MATCH(orders!L$1,products!$A$1:$G$1,0))</f>
        <v>9.51</v>
      </c>
      <c r="M39" s="10">
        <f t="shared" si="0"/>
        <v>28.53</v>
      </c>
      <c r="N39" t="str">
        <f t="shared" si="1"/>
        <v>Liberica</v>
      </c>
      <c r="O39" t="str">
        <f t="shared" si="2"/>
        <v>Light</v>
      </c>
      <c r="P39" t="str">
        <f>_xlfn.XLOOKUP(Table1[[#This Row],[Customer ID]],customers!$A$1:$A$1001,customers!$I$1:$I$1001,,0)</f>
        <v>No</v>
      </c>
    </row>
    <row r="40" spans="1:16" x14ac:dyDescent="0.25">
      <c r="A40" s="2" t="s">
        <v>705</v>
      </c>
      <c r="B40" s="8">
        <v>43946</v>
      </c>
      <c r="C40" s="2" t="s">
        <v>706</v>
      </c>
      <c r="D40" t="s">
        <v>6151</v>
      </c>
      <c r="E40" s="2">
        <v>5</v>
      </c>
      <c r="F40" s="2" t="str">
        <f>_xlfn.XLOOKUP(orders!C40,customers!$A$1:$A$1001,customers!$B$1:$B$1001,,0)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9">
        <f>INDEX(products!$A$1:$G$49,MATCH(orders!$D40,products!$A$1:$A$49,0),MATCH(orders!K$1,products!$A$1:$G$1,0))</f>
        <v>2.5</v>
      </c>
      <c r="L40" s="10">
        <f>INDEX(products!$A$1:$G$49,MATCH(orders!$D40,products!$A$1:$A$49,0),MATCH(orders!L$1,products!$A$1:$G$1,0))</f>
        <v>22.884999999999998</v>
      </c>
      <c r="M40" s="10">
        <f t="shared" si="0"/>
        <v>114.42499999999998</v>
      </c>
      <c r="N40" t="str">
        <f t="shared" si="1"/>
        <v>Robusta</v>
      </c>
      <c r="O40" t="str">
        <f t="shared" si="2"/>
        <v>Medium</v>
      </c>
      <c r="P40" t="str">
        <f>_xlfn.XLOOKUP(Table1[[#This Row],[Customer ID]],customers!$A$1:$A$1001,customers!$I$1:$I$1001,,0)</f>
        <v>No</v>
      </c>
    </row>
    <row r="41" spans="1:16" x14ac:dyDescent="0.25">
      <c r="A41" s="2" t="s">
        <v>711</v>
      </c>
      <c r="B41" s="8">
        <v>44524</v>
      </c>
      <c r="C41" s="2" t="s">
        <v>712</v>
      </c>
      <c r="D41" t="s">
        <v>6138</v>
      </c>
      <c r="E41" s="2">
        <v>6</v>
      </c>
      <c r="F41" s="2" t="str">
        <f>_xlfn.XLOOKUP(orders!C41,customers!$A$1:$A$1001,customers!$B$1:$B$1001,,0)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9">
        <f>INDEX(products!$A$1:$G$49,MATCH(orders!$D41,products!$A$1:$A$49,0),MATCH(orders!K$1,products!$A$1:$G$1,0))</f>
        <v>1</v>
      </c>
      <c r="L41" s="10">
        <f>INDEX(products!$A$1:$G$49,MATCH(orders!$D41,products!$A$1:$A$49,0),MATCH(orders!L$1,products!$A$1:$G$1,0))</f>
        <v>9.9499999999999993</v>
      </c>
      <c r="M41" s="10">
        <f t="shared" si="0"/>
        <v>59.699999999999996</v>
      </c>
      <c r="N41" t="str">
        <f t="shared" si="1"/>
        <v>Robusta</v>
      </c>
      <c r="O41" t="str">
        <f t="shared" si="2"/>
        <v>Medium</v>
      </c>
      <c r="P41" t="str">
        <f>_xlfn.XLOOKUP(Table1[[#This Row],[Customer ID]],customers!$A$1:$A$1001,customers!$I$1:$I$1001,,0)</f>
        <v>Yes</v>
      </c>
    </row>
    <row r="42" spans="1:16" x14ac:dyDescent="0.25">
      <c r="A42" s="2" t="s">
        <v>715</v>
      </c>
      <c r="B42" s="8">
        <v>44305</v>
      </c>
      <c r="C42" s="2" t="s">
        <v>716</v>
      </c>
      <c r="D42" t="s">
        <v>6162</v>
      </c>
      <c r="E42" s="2">
        <v>3</v>
      </c>
      <c r="F42" s="2" t="str">
        <f>_xlfn.XLOOKUP(orders!C42,customers!$A$1:$A$1001,customers!$B$1:$B$1001,,0)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9">
        <f>INDEX(products!$A$1:$G$49,MATCH(orders!$D42,products!$A$1:$A$49,0),MATCH(orders!K$1,products!$A$1:$G$1,0))</f>
        <v>1</v>
      </c>
      <c r="L42" s="10">
        <f>INDEX(products!$A$1:$G$49,MATCH(orders!$D42,products!$A$1:$A$49,0),MATCH(orders!L$1,products!$A$1:$G$1,0))</f>
        <v>14.55</v>
      </c>
      <c r="M42" s="10">
        <f t="shared" si="0"/>
        <v>43.650000000000006</v>
      </c>
      <c r="N42" t="str">
        <f t="shared" si="1"/>
        <v>Liberica</v>
      </c>
      <c r="O42" t="str">
        <f t="shared" si="2"/>
        <v>Medium</v>
      </c>
      <c r="P42" t="str">
        <f>_xlfn.XLOOKUP(Table1[[#This Row],[Customer ID]],customers!$A$1:$A$1001,customers!$I$1:$I$1001,,0)</f>
        <v>No</v>
      </c>
    </row>
    <row r="43" spans="1:16" x14ac:dyDescent="0.25">
      <c r="A43" s="2" t="s">
        <v>720</v>
      </c>
      <c r="B43" s="8">
        <v>44749</v>
      </c>
      <c r="C43" s="2" t="s">
        <v>721</v>
      </c>
      <c r="D43" t="s">
        <v>6153</v>
      </c>
      <c r="E43" s="2">
        <v>2</v>
      </c>
      <c r="F43" s="2" t="str">
        <f>_xlfn.XLOOKUP(orders!C43,customers!$A$1:$A$1001,customers!$B$1:$B$1001,,0)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9">
        <f>INDEX(products!$A$1:$G$49,MATCH(orders!$D43,products!$A$1:$A$49,0),MATCH(orders!K$1,products!$A$1:$G$1,0))</f>
        <v>0.2</v>
      </c>
      <c r="L43" s="10">
        <f>INDEX(products!$A$1:$G$49,MATCH(orders!$D43,products!$A$1:$A$49,0),MATCH(orders!L$1,products!$A$1:$G$1,0))</f>
        <v>3.645</v>
      </c>
      <c r="M43" s="10">
        <f t="shared" si="0"/>
        <v>7.29</v>
      </c>
      <c r="N43" t="str">
        <f t="shared" si="1"/>
        <v>Excelsa</v>
      </c>
      <c r="O43" t="str">
        <f t="shared" si="2"/>
        <v>Dark</v>
      </c>
      <c r="P43" t="str">
        <f>_xlfn.XLOOKUP(Table1[[#This Row],[Customer ID]],customers!$A$1:$A$1001,customers!$I$1:$I$1001,,0)</f>
        <v>Yes</v>
      </c>
    </row>
    <row r="44" spans="1:16" x14ac:dyDescent="0.25">
      <c r="A44" s="2" t="s">
        <v>726</v>
      </c>
      <c r="B44" s="8">
        <v>43607</v>
      </c>
      <c r="C44" s="2" t="s">
        <v>727</v>
      </c>
      <c r="D44" t="s">
        <v>6163</v>
      </c>
      <c r="E44" s="2">
        <v>3</v>
      </c>
      <c r="F44" s="2" t="str">
        <f>_xlfn.XLOOKUP(orders!C44,customers!$A$1:$A$1001,customers!$B$1:$B$1001,,0)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9">
        <f>INDEX(products!$A$1:$G$49,MATCH(orders!$D44,products!$A$1:$A$49,0),MATCH(orders!K$1,products!$A$1:$G$1,0))</f>
        <v>0.2</v>
      </c>
      <c r="L44" s="10">
        <f>INDEX(products!$A$1:$G$49,MATCH(orders!$D44,products!$A$1:$A$49,0),MATCH(orders!L$1,products!$A$1:$G$1,0))</f>
        <v>2.6849999999999996</v>
      </c>
      <c r="M44" s="10">
        <f t="shared" si="0"/>
        <v>8.0549999999999997</v>
      </c>
      <c r="N44" t="str">
        <f t="shared" si="1"/>
        <v>Robusta</v>
      </c>
      <c r="O44" t="str">
        <f t="shared" si="2"/>
        <v>Dark</v>
      </c>
      <c r="P44" t="str">
        <f>_xlfn.XLOOKUP(Table1[[#This Row],[Customer ID]],customers!$A$1:$A$1001,customers!$I$1:$I$1001,,0)</f>
        <v>Yes</v>
      </c>
    </row>
    <row r="45" spans="1:16" x14ac:dyDescent="0.25">
      <c r="A45" s="2" t="s">
        <v>733</v>
      </c>
      <c r="B45" s="8">
        <v>44473</v>
      </c>
      <c r="C45" s="2" t="s">
        <v>734</v>
      </c>
      <c r="D45" t="s">
        <v>6164</v>
      </c>
      <c r="E45" s="2">
        <v>2</v>
      </c>
      <c r="F45" s="2" t="str">
        <f>_xlfn.XLOOKUP(orders!C45,customers!$A$1:$A$1001,customers!$B$1:$B$1001,,0)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9">
        <f>INDEX(products!$A$1:$G$49,MATCH(orders!$D45,products!$A$1:$A$49,0),MATCH(orders!K$1,products!$A$1:$G$1,0))</f>
        <v>2.5</v>
      </c>
      <c r="L45" s="10">
        <f>INDEX(products!$A$1:$G$49,MATCH(orders!$D45,products!$A$1:$A$49,0),MATCH(orders!L$1,products!$A$1:$G$1,0))</f>
        <v>36.454999999999998</v>
      </c>
      <c r="M45" s="10">
        <f t="shared" si="0"/>
        <v>72.91</v>
      </c>
      <c r="N45" t="str">
        <f t="shared" si="1"/>
        <v>Liberica</v>
      </c>
      <c r="O45" t="str">
        <f t="shared" si="2"/>
        <v>Light</v>
      </c>
      <c r="P45" t="str">
        <f>_xlfn.XLOOKUP(Table1[[#This Row],[Customer ID]],customers!$A$1:$A$1001,customers!$I$1:$I$1001,,0)</f>
        <v>No</v>
      </c>
    </row>
    <row r="46" spans="1:16" x14ac:dyDescent="0.25">
      <c r="A46" s="2" t="s">
        <v>738</v>
      </c>
      <c r="B46" s="8">
        <v>43932</v>
      </c>
      <c r="C46" s="2" t="s">
        <v>739</v>
      </c>
      <c r="D46" t="s">
        <v>6139</v>
      </c>
      <c r="E46" s="2">
        <v>2</v>
      </c>
      <c r="F46" s="2" t="str">
        <f>_xlfn.XLOOKUP(orders!C46,customers!$A$1:$A$1001,customers!$B$1:$B$1001,,0)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9">
        <f>INDEX(products!$A$1:$G$49,MATCH(orders!$D46,products!$A$1:$A$49,0),MATCH(orders!K$1,products!$A$1:$G$1,0))</f>
        <v>0.5</v>
      </c>
      <c r="L46" s="10">
        <f>INDEX(products!$A$1:$G$49,MATCH(orders!$D46,products!$A$1:$A$49,0),MATCH(orders!L$1,products!$A$1:$G$1,0))</f>
        <v>8.25</v>
      </c>
      <c r="M46" s="10">
        <f t="shared" si="0"/>
        <v>16.5</v>
      </c>
      <c r="N46" t="str">
        <f t="shared" si="1"/>
        <v>Excelsa</v>
      </c>
      <c r="O46" t="str">
        <f t="shared" si="2"/>
        <v>Medium</v>
      </c>
      <c r="P46" t="str">
        <f>_xlfn.XLOOKUP(Table1[[#This Row],[Customer ID]],customers!$A$1:$A$1001,customers!$I$1:$I$1001,,0)</f>
        <v>Yes</v>
      </c>
    </row>
    <row r="47" spans="1:16" x14ac:dyDescent="0.25">
      <c r="A47" s="2" t="s">
        <v>744</v>
      </c>
      <c r="B47" s="8">
        <v>44592</v>
      </c>
      <c r="C47" s="2" t="s">
        <v>745</v>
      </c>
      <c r="D47" t="s">
        <v>6165</v>
      </c>
      <c r="E47" s="2">
        <v>6</v>
      </c>
      <c r="F47" s="2" t="str">
        <f>_xlfn.XLOOKUP(orders!C47,customers!$A$1:$A$1001,customers!$B$1:$B$1001,,0)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9">
        <f>INDEX(products!$A$1:$G$49,MATCH(orders!$D47,products!$A$1:$A$49,0),MATCH(orders!K$1,products!$A$1:$G$1,0))</f>
        <v>2.5</v>
      </c>
      <c r="L47" s="10">
        <f>INDEX(products!$A$1:$G$49,MATCH(orders!$D47,products!$A$1:$A$49,0),MATCH(orders!L$1,products!$A$1:$G$1,0))</f>
        <v>29.784999999999997</v>
      </c>
      <c r="M47" s="10">
        <f t="shared" si="0"/>
        <v>178.70999999999998</v>
      </c>
      <c r="N47" t="str">
        <f t="shared" si="1"/>
        <v>Liberica</v>
      </c>
      <c r="O47" t="str">
        <f t="shared" si="2"/>
        <v>Dark</v>
      </c>
      <c r="P47" t="str">
        <f>_xlfn.XLOOKUP(Table1[[#This Row],[Customer ID]],customers!$A$1:$A$1001,customers!$I$1:$I$1001,,0)</f>
        <v>No</v>
      </c>
    </row>
    <row r="48" spans="1:16" x14ac:dyDescent="0.25">
      <c r="A48" s="2" t="s">
        <v>750</v>
      </c>
      <c r="B48" s="8">
        <v>43776</v>
      </c>
      <c r="C48" s="2" t="s">
        <v>751</v>
      </c>
      <c r="D48" t="s">
        <v>6166</v>
      </c>
      <c r="E48" s="2">
        <v>2</v>
      </c>
      <c r="F48" s="2" t="str">
        <f>_xlfn.XLOOKUP(orders!C48,customers!$A$1:$A$1001,customers!$B$1:$B$1001,,0)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9">
        <f>INDEX(products!$A$1:$G$49,MATCH(orders!$D48,products!$A$1:$A$49,0),MATCH(orders!K$1,products!$A$1:$G$1,0))</f>
        <v>2.5</v>
      </c>
      <c r="L48" s="10">
        <f>INDEX(products!$A$1:$G$49,MATCH(orders!$D48,products!$A$1:$A$49,0),MATCH(orders!L$1,products!$A$1:$G$1,0))</f>
        <v>31.624999999999996</v>
      </c>
      <c r="M48" s="10">
        <f t="shared" si="0"/>
        <v>63.249999999999993</v>
      </c>
      <c r="N48" t="str">
        <f t="shared" si="1"/>
        <v>Excelsa</v>
      </c>
      <c r="O48" t="str">
        <f t="shared" si="2"/>
        <v>Medium</v>
      </c>
      <c r="P48" t="str">
        <f>_xlfn.XLOOKUP(Table1[[#This Row],[Customer ID]],customers!$A$1:$A$1001,customers!$I$1:$I$1001,,0)</f>
        <v>Yes</v>
      </c>
    </row>
    <row r="49" spans="1:16" x14ac:dyDescent="0.25">
      <c r="A49" s="2" t="s">
        <v>755</v>
      </c>
      <c r="B49" s="8">
        <v>43644</v>
      </c>
      <c r="C49" s="2" t="s">
        <v>756</v>
      </c>
      <c r="D49" t="s">
        <v>6167</v>
      </c>
      <c r="E49" s="2">
        <v>2</v>
      </c>
      <c r="F49" s="2" t="str">
        <f>_xlfn.XLOOKUP(orders!C49,customers!$A$1:$A$1001,customers!$B$1:$B$1001,,0)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9">
        <f>INDEX(products!$A$1:$G$49,MATCH(orders!$D49,products!$A$1:$A$49,0),MATCH(orders!K$1,products!$A$1:$G$1,0))</f>
        <v>0.2</v>
      </c>
      <c r="L49" s="10">
        <f>INDEX(products!$A$1:$G$49,MATCH(orders!$D49,products!$A$1:$A$49,0),MATCH(orders!L$1,products!$A$1:$G$1,0))</f>
        <v>3.8849999999999998</v>
      </c>
      <c r="M49" s="10">
        <f t="shared" si="0"/>
        <v>7.77</v>
      </c>
      <c r="N49" t="str">
        <f t="shared" si="1"/>
        <v>Arabica</v>
      </c>
      <c r="O49" t="str">
        <f t="shared" si="2"/>
        <v>Light</v>
      </c>
      <c r="P49" t="str">
        <f>_xlfn.XLOOKUP(Table1[[#This Row],[Customer ID]],customers!$A$1:$A$1001,customers!$I$1:$I$1001,,0)</f>
        <v>Yes</v>
      </c>
    </row>
    <row r="50" spans="1:16" x14ac:dyDescent="0.25">
      <c r="A50" s="2" t="s">
        <v>761</v>
      </c>
      <c r="B50" s="8">
        <v>44085</v>
      </c>
      <c r="C50" s="2" t="s">
        <v>762</v>
      </c>
      <c r="D50" t="s">
        <v>6168</v>
      </c>
      <c r="E50" s="2">
        <v>4</v>
      </c>
      <c r="F50" s="2" t="str">
        <f>_xlfn.XLOOKUP(orders!C50,customers!$A$1:$A$1001,customers!$B$1:$B$1001,,0)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9">
        <f>INDEX(products!$A$1:$G$49,MATCH(orders!$D50,products!$A$1:$A$49,0),MATCH(orders!K$1,products!$A$1:$G$1,0))</f>
        <v>2.5</v>
      </c>
      <c r="L50" s="10">
        <f>INDEX(products!$A$1:$G$49,MATCH(orders!$D50,products!$A$1:$A$49,0),MATCH(orders!L$1,products!$A$1:$G$1,0))</f>
        <v>22.884999999999998</v>
      </c>
      <c r="M50" s="10">
        <f t="shared" si="0"/>
        <v>91.539999999999992</v>
      </c>
      <c r="N50" t="str">
        <f t="shared" si="1"/>
        <v>Arabica</v>
      </c>
      <c r="O50" t="str">
        <f t="shared" si="2"/>
        <v>Dark</v>
      </c>
      <c r="P50" t="str">
        <f>_xlfn.XLOOKUP(Table1[[#This Row],[Customer ID]],customers!$A$1:$A$1001,customers!$I$1:$I$1001,,0)</f>
        <v>No</v>
      </c>
    </row>
    <row r="51" spans="1:16" x14ac:dyDescent="0.25">
      <c r="A51" s="2" t="s">
        <v>766</v>
      </c>
      <c r="B51" s="8">
        <v>44790</v>
      </c>
      <c r="C51" s="2" t="s">
        <v>767</v>
      </c>
      <c r="D51" t="s">
        <v>6140</v>
      </c>
      <c r="E51" s="2">
        <v>3</v>
      </c>
      <c r="F51" s="2" t="str">
        <f>_xlfn.XLOOKUP(orders!C51,customers!$A$1:$A$1001,customers!$B$1:$B$1001,,0)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9">
        <f>INDEX(products!$A$1:$G$49,MATCH(orders!$D51,products!$A$1:$A$49,0),MATCH(orders!K$1,products!$A$1:$G$1,0))</f>
        <v>1</v>
      </c>
      <c r="L51" s="10">
        <f>INDEX(products!$A$1:$G$49,MATCH(orders!$D51,products!$A$1:$A$49,0),MATCH(orders!L$1,products!$A$1:$G$1,0))</f>
        <v>12.95</v>
      </c>
      <c r="M51" s="10">
        <f t="shared" si="0"/>
        <v>38.849999999999994</v>
      </c>
      <c r="N51" t="str">
        <f t="shared" si="1"/>
        <v>Arabica</v>
      </c>
      <c r="O51" t="str">
        <f t="shared" si="2"/>
        <v>Light</v>
      </c>
      <c r="P51" t="str">
        <f>_xlfn.XLOOKUP(Table1[[#This Row],[Customer ID]],customers!$A$1:$A$1001,customers!$I$1:$I$1001,,0)</f>
        <v>No</v>
      </c>
    </row>
    <row r="52" spans="1:16" x14ac:dyDescent="0.25">
      <c r="A52" s="2" t="s">
        <v>772</v>
      </c>
      <c r="B52" s="8">
        <v>44792</v>
      </c>
      <c r="C52" s="2" t="s">
        <v>773</v>
      </c>
      <c r="D52" t="s">
        <v>6169</v>
      </c>
      <c r="E52" s="2">
        <v>2</v>
      </c>
      <c r="F52" s="2" t="str">
        <f>_xlfn.XLOOKUP(orders!C52,customers!$A$1:$A$1001,customers!$B$1:$B$1001,,0)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9">
        <f>INDEX(products!$A$1:$G$49,MATCH(orders!$D52,products!$A$1:$A$49,0),MATCH(orders!K$1,products!$A$1:$G$1,0))</f>
        <v>0.5</v>
      </c>
      <c r="L52" s="10">
        <f>INDEX(products!$A$1:$G$49,MATCH(orders!$D52,products!$A$1:$A$49,0),MATCH(orders!L$1,products!$A$1:$G$1,0))</f>
        <v>7.77</v>
      </c>
      <c r="M52" s="10">
        <f t="shared" si="0"/>
        <v>15.54</v>
      </c>
      <c r="N52" t="str">
        <f t="shared" si="1"/>
        <v>Liberica</v>
      </c>
      <c r="O52" t="str">
        <f t="shared" si="2"/>
        <v>Dark</v>
      </c>
      <c r="P52" t="str">
        <f>_xlfn.XLOOKUP(Table1[[#This Row],[Customer ID]],customers!$A$1:$A$1001,customers!$I$1:$I$1001,,0)</f>
        <v>No</v>
      </c>
    </row>
    <row r="53" spans="1:16" x14ac:dyDescent="0.25">
      <c r="A53" s="2" t="s">
        <v>778</v>
      </c>
      <c r="B53" s="8">
        <v>43600</v>
      </c>
      <c r="C53" s="2" t="s">
        <v>779</v>
      </c>
      <c r="D53" t="s">
        <v>6164</v>
      </c>
      <c r="E53" s="2">
        <v>4</v>
      </c>
      <c r="F53" s="2" t="str">
        <f>_xlfn.XLOOKUP(orders!C53,customers!$A$1:$A$1001,customers!$B$1:$B$1001,,0)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9">
        <f>INDEX(products!$A$1:$G$49,MATCH(orders!$D53,products!$A$1:$A$49,0),MATCH(orders!K$1,products!$A$1:$G$1,0))</f>
        <v>2.5</v>
      </c>
      <c r="L53" s="10">
        <f>INDEX(products!$A$1:$G$49,MATCH(orders!$D53,products!$A$1:$A$49,0),MATCH(orders!L$1,products!$A$1:$G$1,0))</f>
        <v>36.454999999999998</v>
      </c>
      <c r="M53" s="10">
        <f t="shared" si="0"/>
        <v>145.82</v>
      </c>
      <c r="N53" t="str">
        <f t="shared" si="1"/>
        <v>Liberica</v>
      </c>
      <c r="O53" t="str">
        <f t="shared" si="2"/>
        <v>Light</v>
      </c>
      <c r="P53" t="str">
        <f>_xlfn.XLOOKUP(Table1[[#This Row],[Customer ID]],customers!$A$1:$A$1001,customers!$I$1:$I$1001,,0)</f>
        <v>Yes</v>
      </c>
    </row>
    <row r="54" spans="1:16" x14ac:dyDescent="0.25">
      <c r="A54" s="2" t="s">
        <v>784</v>
      </c>
      <c r="B54" s="8">
        <v>43719</v>
      </c>
      <c r="C54" s="2" t="s">
        <v>785</v>
      </c>
      <c r="D54" t="s">
        <v>6146</v>
      </c>
      <c r="E54" s="2">
        <v>5</v>
      </c>
      <c r="F54" s="2" t="str">
        <f>_xlfn.XLOOKUP(orders!C54,customers!$A$1:$A$1001,customers!$B$1:$B$1001,,0)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9">
        <f>INDEX(products!$A$1:$G$49,MATCH(orders!$D54,products!$A$1:$A$49,0),MATCH(orders!K$1,products!$A$1:$G$1,0))</f>
        <v>0.5</v>
      </c>
      <c r="L54" s="10">
        <f>INDEX(products!$A$1:$G$49,MATCH(orders!$D54,products!$A$1:$A$49,0),MATCH(orders!L$1,products!$A$1:$G$1,0))</f>
        <v>5.97</v>
      </c>
      <c r="M54" s="10">
        <f t="shared" si="0"/>
        <v>29.849999999999998</v>
      </c>
      <c r="N54" t="str">
        <f t="shared" si="1"/>
        <v>Robusta</v>
      </c>
      <c r="O54" t="str">
        <f t="shared" si="2"/>
        <v>Medium</v>
      </c>
      <c r="P54" t="str">
        <f>_xlfn.XLOOKUP(Table1[[#This Row],[Customer ID]],customers!$A$1:$A$1001,customers!$I$1:$I$1001,,0)</f>
        <v>No</v>
      </c>
    </row>
    <row r="55" spans="1:16" x14ac:dyDescent="0.25">
      <c r="A55" s="2" t="s">
        <v>784</v>
      </c>
      <c r="B55" s="8">
        <v>43719</v>
      </c>
      <c r="C55" s="2" t="s">
        <v>785</v>
      </c>
      <c r="D55" t="s">
        <v>6164</v>
      </c>
      <c r="E55" s="2">
        <v>2</v>
      </c>
      <c r="F55" s="2" t="str">
        <f>_xlfn.XLOOKUP(orders!C55,customers!$A$1:$A$1001,customers!$B$1:$B$1001,,0)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9">
        <f>INDEX(products!$A$1:$G$49,MATCH(orders!$D55,products!$A$1:$A$49,0),MATCH(orders!K$1,products!$A$1:$G$1,0))</f>
        <v>2.5</v>
      </c>
      <c r="L55" s="10">
        <f>INDEX(products!$A$1:$G$49,MATCH(orders!$D55,products!$A$1:$A$49,0),MATCH(orders!L$1,products!$A$1:$G$1,0))</f>
        <v>36.454999999999998</v>
      </c>
      <c r="M55" s="10">
        <f t="shared" si="0"/>
        <v>72.91</v>
      </c>
      <c r="N55" t="str">
        <f t="shared" si="1"/>
        <v>Liberica</v>
      </c>
      <c r="O55" t="str">
        <f t="shared" si="2"/>
        <v>Light</v>
      </c>
      <c r="P55" t="str">
        <f>_xlfn.XLOOKUP(Table1[[#This Row],[Customer ID]],customers!$A$1:$A$1001,customers!$I$1:$I$1001,,0)</f>
        <v>No</v>
      </c>
    </row>
    <row r="56" spans="1:16" x14ac:dyDescent="0.25">
      <c r="A56" s="2" t="s">
        <v>794</v>
      </c>
      <c r="B56" s="8">
        <v>44271</v>
      </c>
      <c r="C56" s="2" t="s">
        <v>795</v>
      </c>
      <c r="D56" t="s">
        <v>6162</v>
      </c>
      <c r="E56" s="2">
        <v>5</v>
      </c>
      <c r="F56" s="2" t="str">
        <f>_xlfn.XLOOKUP(orders!C56,customers!$A$1:$A$1001,customers!$B$1:$B$1001,,0)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9">
        <f>INDEX(products!$A$1:$G$49,MATCH(orders!$D56,products!$A$1:$A$49,0),MATCH(orders!K$1,products!$A$1:$G$1,0))</f>
        <v>1</v>
      </c>
      <c r="L56" s="10">
        <f>INDEX(products!$A$1:$G$49,MATCH(orders!$D56,products!$A$1:$A$49,0),MATCH(orders!L$1,products!$A$1:$G$1,0))</f>
        <v>14.55</v>
      </c>
      <c r="M56" s="10">
        <f t="shared" si="0"/>
        <v>72.75</v>
      </c>
      <c r="N56" t="str">
        <f t="shared" si="1"/>
        <v>Liberica</v>
      </c>
      <c r="O56" t="str">
        <f t="shared" si="2"/>
        <v>Medium</v>
      </c>
      <c r="P56" t="str">
        <f>_xlfn.XLOOKUP(Table1[[#This Row],[Customer ID]],customers!$A$1:$A$1001,customers!$I$1:$I$1001,,0)</f>
        <v>No</v>
      </c>
    </row>
    <row r="57" spans="1:16" x14ac:dyDescent="0.25">
      <c r="A57" s="2" t="s">
        <v>800</v>
      </c>
      <c r="B57" s="8">
        <v>44168</v>
      </c>
      <c r="C57" s="2" t="s">
        <v>801</v>
      </c>
      <c r="D57" t="s">
        <v>6170</v>
      </c>
      <c r="E57" s="2">
        <v>3</v>
      </c>
      <c r="F57" s="2" t="str">
        <f>_xlfn.XLOOKUP(orders!C57,customers!$A$1:$A$1001,customers!$B$1:$B$1001,,0)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9">
        <f>INDEX(products!$A$1:$G$49,MATCH(orders!$D57,products!$A$1:$A$49,0),MATCH(orders!K$1,products!$A$1:$G$1,0))</f>
        <v>1</v>
      </c>
      <c r="L57" s="10">
        <f>INDEX(products!$A$1:$G$49,MATCH(orders!$D57,products!$A$1:$A$49,0),MATCH(orders!L$1,products!$A$1:$G$1,0))</f>
        <v>15.85</v>
      </c>
      <c r="M57" s="10">
        <f t="shared" si="0"/>
        <v>47.55</v>
      </c>
      <c r="N57" t="str">
        <f t="shared" si="1"/>
        <v>Liberica</v>
      </c>
      <c r="O57" t="str">
        <f t="shared" si="2"/>
        <v>Light</v>
      </c>
      <c r="P57" t="str">
        <f>_xlfn.XLOOKUP(Table1[[#This Row],[Customer ID]],customers!$A$1:$A$1001,customers!$I$1:$I$1001,,0)</f>
        <v>No</v>
      </c>
    </row>
    <row r="58" spans="1:16" x14ac:dyDescent="0.25">
      <c r="A58" s="2" t="s">
        <v>805</v>
      </c>
      <c r="B58" s="8">
        <v>43857</v>
      </c>
      <c r="C58" s="2" t="s">
        <v>806</v>
      </c>
      <c r="D58" t="s">
        <v>6153</v>
      </c>
      <c r="E58" s="2">
        <v>3</v>
      </c>
      <c r="F58" s="2" t="str">
        <f>_xlfn.XLOOKUP(orders!C58,customers!$A$1:$A$1001,customers!$B$1:$B$1001,,0)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9">
        <f>INDEX(products!$A$1:$G$49,MATCH(orders!$D58,products!$A$1:$A$49,0),MATCH(orders!K$1,products!$A$1:$G$1,0))</f>
        <v>0.2</v>
      </c>
      <c r="L58" s="10">
        <f>INDEX(products!$A$1:$G$49,MATCH(orders!$D58,products!$A$1:$A$49,0),MATCH(orders!L$1,products!$A$1:$G$1,0))</f>
        <v>3.645</v>
      </c>
      <c r="M58" s="10">
        <f t="shared" si="0"/>
        <v>10.935</v>
      </c>
      <c r="N58" t="str">
        <f t="shared" si="1"/>
        <v>Excelsa</v>
      </c>
      <c r="O58" t="str">
        <f t="shared" si="2"/>
        <v>Dark</v>
      </c>
      <c r="P58" t="str">
        <f>_xlfn.XLOOKUP(Table1[[#This Row],[Customer ID]],customers!$A$1:$A$1001,customers!$I$1:$I$1001,,0)</f>
        <v>Yes</v>
      </c>
    </row>
    <row r="59" spans="1:16" x14ac:dyDescent="0.25">
      <c r="A59" s="2" t="s">
        <v>811</v>
      </c>
      <c r="B59" s="8">
        <v>44759</v>
      </c>
      <c r="C59" s="2" t="s">
        <v>812</v>
      </c>
      <c r="D59" t="s">
        <v>6171</v>
      </c>
      <c r="E59" s="2">
        <v>4</v>
      </c>
      <c r="F59" s="2" t="str">
        <f>_xlfn.XLOOKUP(orders!C59,customers!$A$1:$A$1001,customers!$B$1:$B$1001,,0)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9">
        <f>INDEX(products!$A$1:$G$49,MATCH(orders!$D59,products!$A$1:$A$49,0),MATCH(orders!K$1,products!$A$1:$G$1,0))</f>
        <v>1</v>
      </c>
      <c r="L59" s="10">
        <f>INDEX(products!$A$1:$G$49,MATCH(orders!$D59,products!$A$1:$A$49,0),MATCH(orders!L$1,products!$A$1:$G$1,0))</f>
        <v>14.85</v>
      </c>
      <c r="M59" s="10">
        <f t="shared" si="0"/>
        <v>59.4</v>
      </c>
      <c r="N59" t="str">
        <f t="shared" si="1"/>
        <v>Excelsa</v>
      </c>
      <c r="O59" t="str">
        <f t="shared" si="2"/>
        <v>Light</v>
      </c>
      <c r="P59" t="str">
        <f>_xlfn.XLOOKUP(Table1[[#This Row],[Customer ID]],customers!$A$1:$A$1001,customers!$I$1:$I$1001,,0)</f>
        <v>No</v>
      </c>
    </row>
    <row r="60" spans="1:16" x14ac:dyDescent="0.25">
      <c r="A60" s="2" t="s">
        <v>817</v>
      </c>
      <c r="B60" s="8">
        <v>44624</v>
      </c>
      <c r="C60" s="2" t="s">
        <v>818</v>
      </c>
      <c r="D60" t="s">
        <v>6165</v>
      </c>
      <c r="E60" s="2">
        <v>3</v>
      </c>
      <c r="F60" s="2" t="str">
        <f>_xlfn.XLOOKUP(orders!C60,customers!$A$1:$A$1001,customers!$B$1:$B$1001,,0)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9">
        <f>INDEX(products!$A$1:$G$49,MATCH(orders!$D60,products!$A$1:$A$49,0),MATCH(orders!K$1,products!$A$1:$G$1,0))</f>
        <v>2.5</v>
      </c>
      <c r="L60" s="10">
        <f>INDEX(products!$A$1:$G$49,MATCH(orders!$D60,products!$A$1:$A$49,0),MATCH(orders!L$1,products!$A$1:$G$1,0))</f>
        <v>29.784999999999997</v>
      </c>
      <c r="M60" s="10">
        <f t="shared" si="0"/>
        <v>89.35499999999999</v>
      </c>
      <c r="N60" t="str">
        <f t="shared" si="1"/>
        <v>Liberica</v>
      </c>
      <c r="O60" t="str">
        <f t="shared" si="2"/>
        <v>Dark</v>
      </c>
      <c r="P60" t="str">
        <f>_xlfn.XLOOKUP(Table1[[#This Row],[Customer ID]],customers!$A$1:$A$1001,customers!$I$1:$I$1001,,0)</f>
        <v>Yes</v>
      </c>
    </row>
    <row r="61" spans="1:16" x14ac:dyDescent="0.25">
      <c r="A61" s="2" t="s">
        <v>822</v>
      </c>
      <c r="B61" s="8">
        <v>44537</v>
      </c>
      <c r="C61" s="2" t="s">
        <v>823</v>
      </c>
      <c r="D61" t="s">
        <v>6160</v>
      </c>
      <c r="E61" s="2">
        <v>3</v>
      </c>
      <c r="F61" s="2" t="str">
        <f>_xlfn.XLOOKUP(orders!C61,customers!$A$1:$A$1001,customers!$B$1:$B$1001,,0)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9">
        <f>INDEX(products!$A$1:$G$49,MATCH(orders!$D61,products!$A$1:$A$49,0),MATCH(orders!K$1,products!$A$1:$G$1,0))</f>
        <v>0.5</v>
      </c>
      <c r="L61" s="10">
        <f>INDEX(products!$A$1:$G$49,MATCH(orders!$D61,products!$A$1:$A$49,0),MATCH(orders!L$1,products!$A$1:$G$1,0))</f>
        <v>8.73</v>
      </c>
      <c r="M61" s="10">
        <f t="shared" si="0"/>
        <v>26.19</v>
      </c>
      <c r="N61" t="str">
        <f t="shared" si="1"/>
        <v>Liberica</v>
      </c>
      <c r="O61" t="str">
        <f t="shared" si="2"/>
        <v>Medium</v>
      </c>
      <c r="P61" t="str">
        <f>_xlfn.XLOOKUP(Table1[[#This Row],[Customer ID]],customers!$A$1:$A$1001,customers!$I$1:$I$1001,,0)</f>
        <v>Yes</v>
      </c>
    </row>
    <row r="62" spans="1:16" x14ac:dyDescent="0.25">
      <c r="A62" s="2" t="s">
        <v>827</v>
      </c>
      <c r="B62" s="8">
        <v>44252</v>
      </c>
      <c r="C62" s="2" t="s">
        <v>828</v>
      </c>
      <c r="D62" t="s">
        <v>6168</v>
      </c>
      <c r="E62" s="2">
        <v>5</v>
      </c>
      <c r="F62" s="2" t="str">
        <f>_xlfn.XLOOKUP(orders!C62,customers!$A$1:$A$1001,customers!$B$1:$B$1001,,0)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9">
        <f>INDEX(products!$A$1:$G$49,MATCH(orders!$D62,products!$A$1:$A$49,0),MATCH(orders!K$1,products!$A$1:$G$1,0))</f>
        <v>2.5</v>
      </c>
      <c r="L62" s="10">
        <f>INDEX(products!$A$1:$G$49,MATCH(orders!$D62,products!$A$1:$A$49,0),MATCH(orders!L$1,products!$A$1:$G$1,0))</f>
        <v>22.884999999999998</v>
      </c>
      <c r="M62" s="10">
        <f t="shared" si="0"/>
        <v>114.42499999999998</v>
      </c>
      <c r="N62" t="str">
        <f t="shared" si="1"/>
        <v>Arabica</v>
      </c>
      <c r="O62" t="str">
        <f t="shared" si="2"/>
        <v>Dark</v>
      </c>
      <c r="P62" t="str">
        <f>_xlfn.XLOOKUP(Table1[[#This Row],[Customer ID]],customers!$A$1:$A$1001,customers!$I$1:$I$1001,,0)</f>
        <v>No</v>
      </c>
    </row>
    <row r="63" spans="1:16" x14ac:dyDescent="0.25">
      <c r="A63" s="2" t="s">
        <v>833</v>
      </c>
      <c r="B63" s="8">
        <v>43521</v>
      </c>
      <c r="C63" s="2" t="s">
        <v>834</v>
      </c>
      <c r="D63" t="s">
        <v>6172</v>
      </c>
      <c r="E63" s="2">
        <v>5</v>
      </c>
      <c r="F63" s="2" t="str">
        <f>_xlfn.XLOOKUP(orders!C63,customers!$A$1:$A$1001,customers!$B$1:$B$1001,,0)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9">
        <f>INDEX(products!$A$1:$G$49,MATCH(orders!$D63,products!$A$1:$A$49,0),MATCH(orders!K$1,products!$A$1:$G$1,0))</f>
        <v>0.5</v>
      </c>
      <c r="L63" s="10">
        <f>INDEX(products!$A$1:$G$49,MATCH(orders!$D63,products!$A$1:$A$49,0),MATCH(orders!L$1,products!$A$1:$G$1,0))</f>
        <v>5.3699999999999992</v>
      </c>
      <c r="M63" s="10">
        <f t="shared" si="0"/>
        <v>26.849999999999994</v>
      </c>
      <c r="N63" t="str">
        <f t="shared" si="1"/>
        <v>Robusta</v>
      </c>
      <c r="O63" t="str">
        <f t="shared" si="2"/>
        <v>Dark</v>
      </c>
      <c r="P63" t="str">
        <f>_xlfn.XLOOKUP(Table1[[#This Row],[Customer ID]],customers!$A$1:$A$1001,customers!$I$1:$I$1001,,0)</f>
        <v>Yes</v>
      </c>
    </row>
    <row r="64" spans="1:16" x14ac:dyDescent="0.25">
      <c r="A64" s="2" t="s">
        <v>838</v>
      </c>
      <c r="B64" s="8">
        <v>43505</v>
      </c>
      <c r="C64" s="2" t="s">
        <v>839</v>
      </c>
      <c r="D64" t="s">
        <v>6145</v>
      </c>
      <c r="E64" s="2">
        <v>5</v>
      </c>
      <c r="F64" s="2" t="str">
        <f>_xlfn.XLOOKUP(orders!C64,customers!$A$1:$A$1001,customers!$B$1:$B$1001,,0)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9">
        <f>INDEX(products!$A$1:$G$49,MATCH(orders!$D64,products!$A$1:$A$49,0),MATCH(orders!K$1,products!$A$1:$G$1,0))</f>
        <v>0.2</v>
      </c>
      <c r="L64" s="10">
        <f>INDEX(products!$A$1:$G$49,MATCH(orders!$D64,products!$A$1:$A$49,0),MATCH(orders!L$1,products!$A$1:$G$1,0))</f>
        <v>4.7549999999999999</v>
      </c>
      <c r="M64" s="10">
        <f t="shared" si="0"/>
        <v>23.774999999999999</v>
      </c>
      <c r="N64" t="str">
        <f t="shared" si="1"/>
        <v>Liberica</v>
      </c>
      <c r="O64" t="str">
        <f t="shared" si="2"/>
        <v>Light</v>
      </c>
      <c r="P64" t="str">
        <f>_xlfn.XLOOKUP(Table1[[#This Row],[Customer ID]],customers!$A$1:$A$1001,customers!$I$1:$I$1001,,0)</f>
        <v>Yes</v>
      </c>
    </row>
    <row r="65" spans="1:16" x14ac:dyDescent="0.25">
      <c r="A65" s="2" t="s">
        <v>843</v>
      </c>
      <c r="B65" s="8">
        <v>43868</v>
      </c>
      <c r="C65" s="2" t="s">
        <v>844</v>
      </c>
      <c r="D65" t="s">
        <v>6157</v>
      </c>
      <c r="E65" s="2">
        <v>1</v>
      </c>
      <c r="F65" s="2" t="str">
        <f>_xlfn.XLOOKUP(orders!C65,customers!$A$1:$A$1001,customers!$B$1:$B$1001,,0)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9">
        <f>INDEX(products!$A$1:$G$49,MATCH(orders!$D65,products!$A$1:$A$49,0),MATCH(orders!K$1,products!$A$1:$G$1,0))</f>
        <v>0.5</v>
      </c>
      <c r="L65" s="10">
        <f>INDEX(products!$A$1:$G$49,MATCH(orders!$D65,products!$A$1:$A$49,0),MATCH(orders!L$1,products!$A$1:$G$1,0))</f>
        <v>6.75</v>
      </c>
      <c r="M65" s="10">
        <f t="shared" si="0"/>
        <v>6.75</v>
      </c>
      <c r="N65" t="str">
        <f t="shared" si="1"/>
        <v>Arabica</v>
      </c>
      <c r="O65" t="str">
        <f t="shared" si="2"/>
        <v>Medium</v>
      </c>
      <c r="P65" t="str">
        <f>_xlfn.XLOOKUP(Table1[[#This Row],[Customer ID]],customers!$A$1:$A$1001,customers!$I$1:$I$1001,,0)</f>
        <v>No</v>
      </c>
    </row>
    <row r="66" spans="1:16" x14ac:dyDescent="0.25">
      <c r="A66" s="2" t="s">
        <v>849</v>
      </c>
      <c r="B66" s="8">
        <v>43913</v>
      </c>
      <c r="C66" s="2" t="s">
        <v>850</v>
      </c>
      <c r="D66" t="s">
        <v>6146</v>
      </c>
      <c r="E66" s="2">
        <v>6</v>
      </c>
      <c r="F66" s="2" t="str">
        <f>_xlfn.XLOOKUP(orders!C66,customers!$A$1:$A$1001,customers!$B$1:$B$1001,,0)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9">
        <f>INDEX(products!$A$1:$G$49,MATCH(orders!$D66,products!$A$1:$A$49,0),MATCH(orders!K$1,products!$A$1:$G$1,0))</f>
        <v>0.5</v>
      </c>
      <c r="L66" s="10">
        <f>INDEX(products!$A$1:$G$49,MATCH(orders!$D66,products!$A$1:$A$49,0),MATCH(orders!L$1,products!$A$1:$G$1,0))</f>
        <v>5.97</v>
      </c>
      <c r="M66" s="10">
        <f t="shared" si="0"/>
        <v>35.82</v>
      </c>
      <c r="N66" t="str">
        <f t="shared" si="1"/>
        <v>Robusta</v>
      </c>
      <c r="O66" t="str">
        <f t="shared" si="2"/>
        <v>Medium</v>
      </c>
      <c r="P66" t="str">
        <f>_xlfn.XLOOKUP(Table1[[#This Row],[Customer ID]],customers!$A$1:$A$1001,customers!$I$1:$I$1001,,0)</f>
        <v>Yes</v>
      </c>
    </row>
    <row r="67" spans="1:16" x14ac:dyDescent="0.25">
      <c r="A67" s="2" t="s">
        <v>854</v>
      </c>
      <c r="B67" s="8">
        <v>44626</v>
      </c>
      <c r="C67" s="2" t="s">
        <v>855</v>
      </c>
      <c r="D67" t="s">
        <v>6149</v>
      </c>
      <c r="E67" s="2">
        <v>4</v>
      </c>
      <c r="F67" s="2" t="str">
        <f>_xlfn.XLOOKUP(orders!C67,customers!$A$1:$A$1001,customers!$B$1:$B$1001,,0)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9">
        <f>INDEX(products!$A$1:$G$49,MATCH(orders!$D67,products!$A$1:$A$49,0),MATCH(orders!K$1,products!$A$1:$G$1,0))</f>
        <v>2.5</v>
      </c>
      <c r="L67" s="10">
        <f>INDEX(products!$A$1:$G$49,MATCH(orders!$D67,products!$A$1:$A$49,0),MATCH(orders!L$1,products!$A$1:$G$1,0))</f>
        <v>20.584999999999997</v>
      </c>
      <c r="M67" s="10">
        <f t="shared" ref="M67:M130" si="3">L67*E67</f>
        <v>82.339999999999989</v>
      </c>
      <c r="N67" t="str">
        <f t="shared" ref="N67:N130" si="4">IF(I67="Rob", "Robusta", IF(I67="Exc","Excelsa", IF(I67="Ara","Arabica", IF(I67="Lib","Liberica",""))))</f>
        <v>Robusta</v>
      </c>
      <c r="O67" t="str">
        <f t="shared" ref="O67:O130" si="5">IF(J67="M", "Medium", IF(J67="L","Light",IF(J67="D","Dark","")))</f>
        <v>Dark</v>
      </c>
      <c r="P67" t="str">
        <f>_xlfn.XLOOKUP(Table1[[#This Row],[Customer ID]],customers!$A$1:$A$1001,customers!$I$1:$I$1001,,0)</f>
        <v>Yes</v>
      </c>
    </row>
    <row r="68" spans="1:16" x14ac:dyDescent="0.25">
      <c r="A68" s="2" t="s">
        <v>860</v>
      </c>
      <c r="B68" s="8">
        <v>44666</v>
      </c>
      <c r="C68" s="2" t="s">
        <v>861</v>
      </c>
      <c r="D68" t="s">
        <v>6173</v>
      </c>
      <c r="E68" s="2">
        <v>1</v>
      </c>
      <c r="F68" s="2" t="str">
        <f>_xlfn.XLOOKUP(orders!C68,customers!$A$1:$A$1001,customers!$B$1:$B$1001,,0)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9">
        <f>INDEX(products!$A$1:$G$49,MATCH(orders!$D68,products!$A$1:$A$49,0),MATCH(orders!K$1,products!$A$1:$G$1,0))</f>
        <v>0.5</v>
      </c>
      <c r="L68" s="10">
        <f>INDEX(products!$A$1:$G$49,MATCH(orders!$D68,products!$A$1:$A$49,0),MATCH(orders!L$1,products!$A$1:$G$1,0))</f>
        <v>7.169999999999999</v>
      </c>
      <c r="M68" s="10">
        <f t="shared" si="3"/>
        <v>7.169999999999999</v>
      </c>
      <c r="N68" t="str">
        <f t="shared" si="4"/>
        <v>Robusta</v>
      </c>
      <c r="O68" t="str">
        <f t="shared" si="5"/>
        <v>Light</v>
      </c>
      <c r="P68" t="str">
        <f>_xlfn.XLOOKUP(Table1[[#This Row],[Customer ID]],customers!$A$1:$A$1001,customers!$I$1:$I$1001,,0)</f>
        <v>Yes</v>
      </c>
    </row>
    <row r="69" spans="1:16" x14ac:dyDescent="0.25">
      <c r="A69" s="2" t="s">
        <v>866</v>
      </c>
      <c r="B69" s="8">
        <v>44519</v>
      </c>
      <c r="C69" s="2" t="s">
        <v>867</v>
      </c>
      <c r="D69" t="s">
        <v>6145</v>
      </c>
      <c r="E69" s="2">
        <v>2</v>
      </c>
      <c r="F69" s="2" t="str">
        <f>_xlfn.XLOOKUP(orders!C69,customers!$A$1:$A$1001,customers!$B$1:$B$1001,,0)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9">
        <f>INDEX(products!$A$1:$G$49,MATCH(orders!$D69,products!$A$1:$A$49,0),MATCH(orders!K$1,products!$A$1:$G$1,0))</f>
        <v>0.2</v>
      </c>
      <c r="L69" s="10">
        <f>INDEX(products!$A$1:$G$49,MATCH(orders!$D69,products!$A$1:$A$49,0),MATCH(orders!L$1,products!$A$1:$G$1,0))</f>
        <v>4.7549999999999999</v>
      </c>
      <c r="M69" s="10">
        <f t="shared" si="3"/>
        <v>9.51</v>
      </c>
      <c r="N69" t="str">
        <f t="shared" si="4"/>
        <v>Liberica</v>
      </c>
      <c r="O69" t="str">
        <f t="shared" si="5"/>
        <v>Light</v>
      </c>
      <c r="P69" t="str">
        <f>_xlfn.XLOOKUP(Table1[[#This Row],[Customer ID]],customers!$A$1:$A$1001,customers!$I$1:$I$1001,,0)</f>
        <v>No</v>
      </c>
    </row>
    <row r="70" spans="1:16" x14ac:dyDescent="0.25">
      <c r="A70" s="2" t="s">
        <v>872</v>
      </c>
      <c r="B70" s="8">
        <v>43754</v>
      </c>
      <c r="C70" s="2" t="s">
        <v>873</v>
      </c>
      <c r="D70" t="s">
        <v>6174</v>
      </c>
      <c r="E70" s="2">
        <v>1</v>
      </c>
      <c r="F70" s="2" t="str">
        <f>_xlfn.XLOOKUP(orders!C70,customers!$A$1:$A$1001,customers!$B$1:$B$1001,,0)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9">
        <f>INDEX(products!$A$1:$G$49,MATCH(orders!$D70,products!$A$1:$A$49,0),MATCH(orders!K$1,products!$A$1:$G$1,0))</f>
        <v>0.2</v>
      </c>
      <c r="L70" s="10">
        <f>INDEX(products!$A$1:$G$49,MATCH(orders!$D70,products!$A$1:$A$49,0),MATCH(orders!L$1,products!$A$1:$G$1,0))</f>
        <v>2.9849999999999999</v>
      </c>
      <c r="M70" s="10">
        <f t="shared" si="3"/>
        <v>2.9849999999999999</v>
      </c>
      <c r="N70" t="str">
        <f t="shared" si="4"/>
        <v>Robusta</v>
      </c>
      <c r="O70" t="str">
        <f t="shared" si="5"/>
        <v>Medium</v>
      </c>
      <c r="P70" t="str">
        <f>_xlfn.XLOOKUP(Table1[[#This Row],[Customer ID]],customers!$A$1:$A$1001,customers!$I$1:$I$1001,,0)</f>
        <v>No</v>
      </c>
    </row>
    <row r="71" spans="1:16" x14ac:dyDescent="0.25">
      <c r="A71" s="2" t="s">
        <v>878</v>
      </c>
      <c r="B71" s="8">
        <v>43795</v>
      </c>
      <c r="C71" s="2" t="s">
        <v>879</v>
      </c>
      <c r="D71" t="s">
        <v>6138</v>
      </c>
      <c r="E71" s="2">
        <v>6</v>
      </c>
      <c r="F71" s="2" t="str">
        <f>_xlfn.XLOOKUP(orders!C71,customers!$A$1:$A$1001,customers!$B$1:$B$1001,,0)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9">
        <f>INDEX(products!$A$1:$G$49,MATCH(orders!$D71,products!$A$1:$A$49,0),MATCH(orders!K$1,products!$A$1:$G$1,0))</f>
        <v>1</v>
      </c>
      <c r="L71" s="10">
        <f>INDEX(products!$A$1:$G$49,MATCH(orders!$D71,products!$A$1:$A$49,0),MATCH(orders!L$1,products!$A$1:$G$1,0))</f>
        <v>9.9499999999999993</v>
      </c>
      <c r="M71" s="10">
        <f t="shared" si="3"/>
        <v>59.699999999999996</v>
      </c>
      <c r="N71" t="str">
        <f t="shared" si="4"/>
        <v>Robusta</v>
      </c>
      <c r="O71" t="str">
        <f t="shared" si="5"/>
        <v>Medium</v>
      </c>
      <c r="P71" t="str">
        <f>_xlfn.XLOOKUP(Table1[[#This Row],[Customer ID]],customers!$A$1:$A$1001,customers!$I$1:$I$1001,,0)</f>
        <v>Yes</v>
      </c>
    </row>
    <row r="72" spans="1:16" x14ac:dyDescent="0.25">
      <c r="A72" s="2" t="s">
        <v>885</v>
      </c>
      <c r="B72" s="8">
        <v>43646</v>
      </c>
      <c r="C72" s="2" t="s">
        <v>886</v>
      </c>
      <c r="D72" t="s">
        <v>6148</v>
      </c>
      <c r="E72" s="2">
        <v>4</v>
      </c>
      <c r="F72" s="2" t="str">
        <f>_xlfn.XLOOKUP(orders!C72,customers!$A$1:$A$1001,customers!$B$1:$B$1001,,0)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9">
        <f>INDEX(products!$A$1:$G$49,MATCH(orders!$D72,products!$A$1:$A$49,0),MATCH(orders!K$1,products!$A$1:$G$1,0))</f>
        <v>2.5</v>
      </c>
      <c r="L72" s="10">
        <f>INDEX(products!$A$1:$G$49,MATCH(orders!$D72,products!$A$1:$A$49,0),MATCH(orders!L$1,products!$A$1:$G$1,0))</f>
        <v>34.154999999999994</v>
      </c>
      <c r="M72" s="10">
        <f t="shared" si="3"/>
        <v>136.61999999999998</v>
      </c>
      <c r="N72" t="str">
        <f t="shared" si="4"/>
        <v>Excelsa</v>
      </c>
      <c r="O72" t="str">
        <f t="shared" si="5"/>
        <v>Light</v>
      </c>
      <c r="P72" t="str">
        <f>_xlfn.XLOOKUP(Table1[[#This Row],[Customer ID]],customers!$A$1:$A$1001,customers!$I$1:$I$1001,,0)</f>
        <v>No</v>
      </c>
    </row>
    <row r="73" spans="1:16" x14ac:dyDescent="0.25">
      <c r="A73" s="2" t="s">
        <v>891</v>
      </c>
      <c r="B73" s="8">
        <v>44200</v>
      </c>
      <c r="C73" s="2" t="s">
        <v>892</v>
      </c>
      <c r="D73" t="s">
        <v>6145</v>
      </c>
      <c r="E73" s="2">
        <v>2</v>
      </c>
      <c r="F73" s="2" t="str">
        <f>_xlfn.XLOOKUP(orders!C73,customers!$A$1:$A$1001,customers!$B$1:$B$1001,,0)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9">
        <f>INDEX(products!$A$1:$G$49,MATCH(orders!$D73,products!$A$1:$A$49,0),MATCH(orders!K$1,products!$A$1:$G$1,0))</f>
        <v>0.2</v>
      </c>
      <c r="L73" s="10">
        <f>INDEX(products!$A$1:$G$49,MATCH(orders!$D73,products!$A$1:$A$49,0),MATCH(orders!L$1,products!$A$1:$G$1,0))</f>
        <v>4.7549999999999999</v>
      </c>
      <c r="M73" s="10">
        <f t="shared" si="3"/>
        <v>9.51</v>
      </c>
      <c r="N73" t="str">
        <f t="shared" si="4"/>
        <v>Liberica</v>
      </c>
      <c r="O73" t="str">
        <f t="shared" si="5"/>
        <v>Light</v>
      </c>
      <c r="P73" t="str">
        <f>_xlfn.XLOOKUP(Table1[[#This Row],[Customer ID]],customers!$A$1:$A$1001,customers!$I$1:$I$1001,,0)</f>
        <v>No</v>
      </c>
    </row>
    <row r="74" spans="1:16" x14ac:dyDescent="0.25">
      <c r="A74" s="2" t="s">
        <v>897</v>
      </c>
      <c r="B74" s="8">
        <v>44131</v>
      </c>
      <c r="C74" s="2" t="s">
        <v>898</v>
      </c>
      <c r="D74" t="s">
        <v>6175</v>
      </c>
      <c r="E74" s="2">
        <v>3</v>
      </c>
      <c r="F74" s="2" t="str">
        <f>_xlfn.XLOOKUP(orders!C74,customers!$A$1:$A$1001,customers!$B$1:$B$1001,,0)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9">
        <f>INDEX(products!$A$1:$G$49,MATCH(orders!$D74,products!$A$1:$A$49,0),MATCH(orders!K$1,products!$A$1:$G$1,0))</f>
        <v>2.5</v>
      </c>
      <c r="L74" s="10">
        <f>INDEX(products!$A$1:$G$49,MATCH(orders!$D74,products!$A$1:$A$49,0),MATCH(orders!L$1,products!$A$1:$G$1,0))</f>
        <v>25.874999999999996</v>
      </c>
      <c r="M74" s="10">
        <f t="shared" si="3"/>
        <v>77.624999999999986</v>
      </c>
      <c r="N74" t="str">
        <f t="shared" si="4"/>
        <v>Arabica</v>
      </c>
      <c r="O74" t="str">
        <f t="shared" si="5"/>
        <v>Medium</v>
      </c>
      <c r="P74" t="str">
        <f>_xlfn.XLOOKUP(Table1[[#This Row],[Customer ID]],customers!$A$1:$A$1001,customers!$I$1:$I$1001,,0)</f>
        <v>No</v>
      </c>
    </row>
    <row r="75" spans="1:16" x14ac:dyDescent="0.25">
      <c r="A75" s="2" t="s">
        <v>902</v>
      </c>
      <c r="B75" s="8">
        <v>44362</v>
      </c>
      <c r="C75" s="2" t="s">
        <v>903</v>
      </c>
      <c r="D75" t="s">
        <v>6159</v>
      </c>
      <c r="E75" s="2">
        <v>5</v>
      </c>
      <c r="F75" s="2" t="str">
        <f>_xlfn.XLOOKUP(orders!C75,customers!$A$1:$A$1001,customers!$B$1:$B$1001,,0)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9">
        <f>INDEX(products!$A$1:$G$49,MATCH(orders!$D75,products!$A$1:$A$49,0),MATCH(orders!K$1,products!$A$1:$G$1,0))</f>
        <v>0.2</v>
      </c>
      <c r="L75" s="10">
        <f>INDEX(products!$A$1:$G$49,MATCH(orders!$D75,products!$A$1:$A$49,0),MATCH(orders!L$1,products!$A$1:$G$1,0))</f>
        <v>4.3650000000000002</v>
      </c>
      <c r="M75" s="10">
        <f t="shared" si="3"/>
        <v>21.825000000000003</v>
      </c>
      <c r="N75" t="str">
        <f t="shared" si="4"/>
        <v>Liberica</v>
      </c>
      <c r="O75" t="str">
        <f t="shared" si="5"/>
        <v>Medium</v>
      </c>
      <c r="P75" t="str">
        <f>_xlfn.XLOOKUP(Table1[[#This Row],[Customer ID]],customers!$A$1:$A$1001,customers!$I$1:$I$1001,,0)</f>
        <v>Yes</v>
      </c>
    </row>
    <row r="76" spans="1:16" x14ac:dyDescent="0.25">
      <c r="A76" s="2" t="s">
        <v>907</v>
      </c>
      <c r="B76" s="8">
        <v>44396</v>
      </c>
      <c r="C76" s="2" t="s">
        <v>908</v>
      </c>
      <c r="D76" t="s">
        <v>6176</v>
      </c>
      <c r="E76" s="2">
        <v>2</v>
      </c>
      <c r="F76" s="2" t="str">
        <f>_xlfn.XLOOKUP(orders!C76,customers!$A$1:$A$1001,customers!$B$1:$B$1001,,0)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9">
        <f>INDEX(products!$A$1:$G$49,MATCH(orders!$D76,products!$A$1:$A$49,0),MATCH(orders!K$1,products!$A$1:$G$1,0))</f>
        <v>0.5</v>
      </c>
      <c r="L76" s="10">
        <f>INDEX(products!$A$1:$G$49,MATCH(orders!$D76,products!$A$1:$A$49,0),MATCH(orders!L$1,products!$A$1:$G$1,0))</f>
        <v>8.91</v>
      </c>
      <c r="M76" s="10">
        <f t="shared" si="3"/>
        <v>17.82</v>
      </c>
      <c r="N76" t="str">
        <f t="shared" si="4"/>
        <v>Excelsa</v>
      </c>
      <c r="O76" t="str">
        <f t="shared" si="5"/>
        <v>Light</v>
      </c>
      <c r="P76" t="str">
        <f>_xlfn.XLOOKUP(Table1[[#This Row],[Customer ID]],customers!$A$1:$A$1001,customers!$I$1:$I$1001,,0)</f>
        <v>Yes</v>
      </c>
    </row>
    <row r="77" spans="1:16" x14ac:dyDescent="0.25">
      <c r="A77" s="2" t="s">
        <v>913</v>
      </c>
      <c r="B77" s="8">
        <v>44400</v>
      </c>
      <c r="C77" s="2" t="s">
        <v>914</v>
      </c>
      <c r="D77" t="s">
        <v>6177</v>
      </c>
      <c r="E77" s="2">
        <v>6</v>
      </c>
      <c r="F77" s="2" t="str">
        <f>_xlfn.XLOOKUP(orders!C77,customers!$A$1:$A$1001,customers!$B$1:$B$1001,,0)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9">
        <f>INDEX(products!$A$1:$G$49,MATCH(orders!$D77,products!$A$1:$A$49,0),MATCH(orders!K$1,products!$A$1:$G$1,0))</f>
        <v>1</v>
      </c>
      <c r="L77" s="10">
        <f>INDEX(products!$A$1:$G$49,MATCH(orders!$D77,products!$A$1:$A$49,0),MATCH(orders!L$1,products!$A$1:$G$1,0))</f>
        <v>8.9499999999999993</v>
      </c>
      <c r="M77" s="10">
        <f t="shared" si="3"/>
        <v>53.699999999999996</v>
      </c>
      <c r="N77" t="str">
        <f t="shared" si="4"/>
        <v>Robusta</v>
      </c>
      <c r="O77" t="str">
        <f t="shared" si="5"/>
        <v>Dark</v>
      </c>
      <c r="P77" t="str">
        <f>_xlfn.XLOOKUP(Table1[[#This Row],[Customer ID]],customers!$A$1:$A$1001,customers!$I$1:$I$1001,,0)</f>
        <v>Yes</v>
      </c>
    </row>
    <row r="78" spans="1:16" x14ac:dyDescent="0.25">
      <c r="A78" s="2" t="s">
        <v>919</v>
      </c>
      <c r="B78" s="8">
        <v>43855</v>
      </c>
      <c r="C78" s="2" t="s">
        <v>920</v>
      </c>
      <c r="D78" t="s">
        <v>6178</v>
      </c>
      <c r="E78" s="2">
        <v>1</v>
      </c>
      <c r="F78" s="2" t="str">
        <f>_xlfn.XLOOKUP(orders!C78,customers!$A$1:$A$1001,customers!$B$1:$B$1001,,0)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9">
        <f>INDEX(products!$A$1:$G$49,MATCH(orders!$D78,products!$A$1:$A$49,0),MATCH(orders!K$1,products!$A$1:$G$1,0))</f>
        <v>0.2</v>
      </c>
      <c r="L78" s="10">
        <f>INDEX(products!$A$1:$G$49,MATCH(orders!$D78,products!$A$1:$A$49,0),MATCH(orders!L$1,products!$A$1:$G$1,0))</f>
        <v>3.5849999999999995</v>
      </c>
      <c r="M78" s="10">
        <f t="shared" si="3"/>
        <v>3.5849999999999995</v>
      </c>
      <c r="N78" t="str">
        <f t="shared" si="4"/>
        <v>Robusta</v>
      </c>
      <c r="O78" t="str">
        <f t="shared" si="5"/>
        <v>Light</v>
      </c>
      <c r="P78" t="str">
        <f>_xlfn.XLOOKUP(Table1[[#This Row],[Customer ID]],customers!$A$1:$A$1001,customers!$I$1:$I$1001,,0)</f>
        <v>Yes</v>
      </c>
    </row>
    <row r="79" spans="1:16" x14ac:dyDescent="0.25">
      <c r="A79" s="2" t="s">
        <v>924</v>
      </c>
      <c r="B79" s="8">
        <v>43594</v>
      </c>
      <c r="C79" s="2" t="s">
        <v>925</v>
      </c>
      <c r="D79" t="s">
        <v>6153</v>
      </c>
      <c r="E79" s="2">
        <v>2</v>
      </c>
      <c r="F79" s="2" t="str">
        <f>_xlfn.XLOOKUP(orders!C79,customers!$A$1:$A$1001,customers!$B$1:$B$1001,,0)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9">
        <f>INDEX(products!$A$1:$G$49,MATCH(orders!$D79,products!$A$1:$A$49,0),MATCH(orders!K$1,products!$A$1:$G$1,0))</f>
        <v>0.2</v>
      </c>
      <c r="L79" s="10">
        <f>INDEX(products!$A$1:$G$49,MATCH(orders!$D79,products!$A$1:$A$49,0),MATCH(orders!L$1,products!$A$1:$G$1,0))</f>
        <v>3.645</v>
      </c>
      <c r="M79" s="10">
        <f t="shared" si="3"/>
        <v>7.29</v>
      </c>
      <c r="N79" t="str">
        <f t="shared" si="4"/>
        <v>Excelsa</v>
      </c>
      <c r="O79" t="str">
        <f t="shared" si="5"/>
        <v>Dark</v>
      </c>
      <c r="P79" t="str">
        <f>_xlfn.XLOOKUP(Table1[[#This Row],[Customer ID]],customers!$A$1:$A$1001,customers!$I$1:$I$1001,,0)</f>
        <v>No</v>
      </c>
    </row>
    <row r="80" spans="1:16" x14ac:dyDescent="0.25">
      <c r="A80" s="2" t="s">
        <v>930</v>
      </c>
      <c r="B80" s="8">
        <v>43920</v>
      </c>
      <c r="C80" s="2" t="s">
        <v>931</v>
      </c>
      <c r="D80" t="s">
        <v>6157</v>
      </c>
      <c r="E80" s="2">
        <v>6</v>
      </c>
      <c r="F80" s="2" t="str">
        <f>_xlfn.XLOOKUP(orders!C80,customers!$A$1:$A$1001,customers!$B$1:$B$1001,,0)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9">
        <f>INDEX(products!$A$1:$G$49,MATCH(orders!$D80,products!$A$1:$A$49,0),MATCH(orders!K$1,products!$A$1:$G$1,0))</f>
        <v>0.5</v>
      </c>
      <c r="L80" s="10">
        <f>INDEX(products!$A$1:$G$49,MATCH(orders!$D80,products!$A$1:$A$49,0),MATCH(orders!L$1,products!$A$1:$G$1,0))</f>
        <v>6.75</v>
      </c>
      <c r="M80" s="10">
        <f t="shared" si="3"/>
        <v>40.5</v>
      </c>
      <c r="N80" t="str">
        <f t="shared" si="4"/>
        <v>Arabica</v>
      </c>
      <c r="O80" t="str">
        <f t="shared" si="5"/>
        <v>Medium</v>
      </c>
      <c r="P80" t="str">
        <f>_xlfn.XLOOKUP(Table1[[#This Row],[Customer ID]],customers!$A$1:$A$1001,customers!$I$1:$I$1001,,0)</f>
        <v>Yes</v>
      </c>
    </row>
    <row r="81" spans="1:16" x14ac:dyDescent="0.25">
      <c r="A81" s="2" t="s">
        <v>936</v>
      </c>
      <c r="B81" s="8">
        <v>44633</v>
      </c>
      <c r="C81" s="2" t="s">
        <v>937</v>
      </c>
      <c r="D81" t="s">
        <v>6179</v>
      </c>
      <c r="E81" s="2">
        <v>4</v>
      </c>
      <c r="F81" s="2" t="str">
        <f>_xlfn.XLOOKUP(orders!C81,customers!$A$1:$A$1001,customers!$B$1:$B$1001,,0)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9">
        <f>INDEX(products!$A$1:$G$49,MATCH(orders!$D81,products!$A$1:$A$49,0),MATCH(orders!K$1,products!$A$1:$G$1,0))</f>
        <v>1</v>
      </c>
      <c r="L81" s="10">
        <f>INDEX(products!$A$1:$G$49,MATCH(orders!$D81,products!$A$1:$A$49,0),MATCH(orders!L$1,products!$A$1:$G$1,0))</f>
        <v>11.95</v>
      </c>
      <c r="M81" s="10">
        <f t="shared" si="3"/>
        <v>47.8</v>
      </c>
      <c r="N81" t="str">
        <f t="shared" si="4"/>
        <v>Robusta</v>
      </c>
      <c r="O81" t="str">
        <f t="shared" si="5"/>
        <v>Light</v>
      </c>
      <c r="P81" t="str">
        <f>_xlfn.XLOOKUP(Table1[[#This Row],[Customer ID]],customers!$A$1:$A$1001,customers!$I$1:$I$1001,,0)</f>
        <v>No</v>
      </c>
    </row>
    <row r="82" spans="1:16" x14ac:dyDescent="0.25">
      <c r="A82" s="2" t="s">
        <v>942</v>
      </c>
      <c r="B82" s="8">
        <v>43572</v>
      </c>
      <c r="C82" s="2" t="s">
        <v>943</v>
      </c>
      <c r="D82" t="s">
        <v>6180</v>
      </c>
      <c r="E82" s="2">
        <v>5</v>
      </c>
      <c r="F82" s="2" t="str">
        <f>_xlfn.XLOOKUP(orders!C82,customers!$A$1:$A$1001,customers!$B$1:$B$1001,,0)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9">
        <f>INDEX(products!$A$1:$G$49,MATCH(orders!$D82,products!$A$1:$A$49,0),MATCH(orders!K$1,products!$A$1:$G$1,0))</f>
        <v>0.5</v>
      </c>
      <c r="L82" s="10">
        <f>INDEX(products!$A$1:$G$49,MATCH(orders!$D82,products!$A$1:$A$49,0),MATCH(orders!L$1,products!$A$1:$G$1,0))</f>
        <v>7.77</v>
      </c>
      <c r="M82" s="10">
        <f t="shared" si="3"/>
        <v>38.849999999999994</v>
      </c>
      <c r="N82" t="str">
        <f t="shared" si="4"/>
        <v>Arabica</v>
      </c>
      <c r="O82" t="str">
        <f t="shared" si="5"/>
        <v>Light</v>
      </c>
      <c r="P82" t="str">
        <f>_xlfn.XLOOKUP(Table1[[#This Row],[Customer ID]],customers!$A$1:$A$1001,customers!$I$1:$I$1001,,0)</f>
        <v>Yes</v>
      </c>
    </row>
    <row r="83" spans="1:16" x14ac:dyDescent="0.25">
      <c r="A83" s="2" t="s">
        <v>948</v>
      </c>
      <c r="B83" s="8">
        <v>43763</v>
      </c>
      <c r="C83" s="2" t="s">
        <v>949</v>
      </c>
      <c r="D83" t="s">
        <v>6164</v>
      </c>
      <c r="E83" s="2">
        <v>3</v>
      </c>
      <c r="F83" s="2" t="str">
        <f>_xlfn.XLOOKUP(orders!C83,customers!$A$1:$A$1001,customers!$B$1:$B$1001,,0)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9">
        <f>INDEX(products!$A$1:$G$49,MATCH(orders!$D83,products!$A$1:$A$49,0),MATCH(orders!K$1,products!$A$1:$G$1,0))</f>
        <v>2.5</v>
      </c>
      <c r="L83" s="10">
        <f>INDEX(products!$A$1:$G$49,MATCH(orders!$D83,products!$A$1:$A$49,0),MATCH(orders!L$1,products!$A$1:$G$1,0))</f>
        <v>36.454999999999998</v>
      </c>
      <c r="M83" s="10">
        <f t="shared" si="3"/>
        <v>109.36499999999999</v>
      </c>
      <c r="N83" t="str">
        <f t="shared" si="4"/>
        <v>Liberica</v>
      </c>
      <c r="O83" t="str">
        <f t="shared" si="5"/>
        <v>Light</v>
      </c>
      <c r="P83" t="str">
        <f>_xlfn.XLOOKUP(Table1[[#This Row],[Customer ID]],customers!$A$1:$A$1001,customers!$I$1:$I$1001,,0)</f>
        <v>Yes</v>
      </c>
    </row>
    <row r="84" spans="1:16" x14ac:dyDescent="0.25">
      <c r="A84" s="2" t="s">
        <v>954</v>
      </c>
      <c r="B84" s="8">
        <v>43721</v>
      </c>
      <c r="C84" s="2" t="s">
        <v>955</v>
      </c>
      <c r="D84" t="s">
        <v>6181</v>
      </c>
      <c r="E84" s="2">
        <v>3</v>
      </c>
      <c r="F84" s="2" t="str">
        <f>_xlfn.XLOOKUP(orders!C84,customers!$A$1:$A$1001,customers!$B$1:$B$1001,,0)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9">
        <f>INDEX(products!$A$1:$G$49,MATCH(orders!$D84,products!$A$1:$A$49,0),MATCH(orders!K$1,products!$A$1:$G$1,0))</f>
        <v>2.5</v>
      </c>
      <c r="L84" s="10">
        <f>INDEX(products!$A$1:$G$49,MATCH(orders!$D84,products!$A$1:$A$49,0),MATCH(orders!L$1,products!$A$1:$G$1,0))</f>
        <v>33.464999999999996</v>
      </c>
      <c r="M84" s="10">
        <f t="shared" si="3"/>
        <v>100.39499999999998</v>
      </c>
      <c r="N84" t="str">
        <f t="shared" si="4"/>
        <v>Liberica</v>
      </c>
      <c r="O84" t="str">
        <f t="shared" si="5"/>
        <v>Medium</v>
      </c>
      <c r="P84" t="str">
        <f>_xlfn.XLOOKUP(Table1[[#This Row],[Customer ID]],customers!$A$1:$A$1001,customers!$I$1:$I$1001,,0)</f>
        <v>Yes</v>
      </c>
    </row>
    <row r="85" spans="1:16" x14ac:dyDescent="0.25">
      <c r="A85" s="2" t="s">
        <v>960</v>
      </c>
      <c r="B85" s="8">
        <v>43933</v>
      </c>
      <c r="C85" s="2" t="s">
        <v>961</v>
      </c>
      <c r="D85" t="s">
        <v>6149</v>
      </c>
      <c r="E85" s="2">
        <v>4</v>
      </c>
      <c r="F85" s="2" t="str">
        <f>_xlfn.XLOOKUP(orders!C85,customers!$A$1:$A$1001,customers!$B$1:$B$1001,,0)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9">
        <f>INDEX(products!$A$1:$G$49,MATCH(orders!$D85,products!$A$1:$A$49,0),MATCH(orders!K$1,products!$A$1:$G$1,0))</f>
        <v>2.5</v>
      </c>
      <c r="L85" s="10">
        <f>INDEX(products!$A$1:$G$49,MATCH(orders!$D85,products!$A$1:$A$49,0),MATCH(orders!L$1,products!$A$1:$G$1,0))</f>
        <v>20.584999999999997</v>
      </c>
      <c r="M85" s="10">
        <f t="shared" si="3"/>
        <v>82.339999999999989</v>
      </c>
      <c r="N85" t="str">
        <f t="shared" si="4"/>
        <v>Robusta</v>
      </c>
      <c r="O85" t="str">
        <f t="shared" si="5"/>
        <v>Dark</v>
      </c>
      <c r="P85" t="str">
        <f>_xlfn.XLOOKUP(Table1[[#This Row],[Customer ID]],customers!$A$1:$A$1001,customers!$I$1:$I$1001,,0)</f>
        <v>Yes</v>
      </c>
    </row>
    <row r="86" spans="1:16" x14ac:dyDescent="0.25">
      <c r="A86" s="2" t="s">
        <v>965</v>
      </c>
      <c r="B86" s="8">
        <v>43783</v>
      </c>
      <c r="C86" s="2" t="s">
        <v>966</v>
      </c>
      <c r="D86" t="s">
        <v>6161</v>
      </c>
      <c r="E86" s="2">
        <v>1</v>
      </c>
      <c r="F86" s="2" t="str">
        <f>_xlfn.XLOOKUP(orders!C86,customers!$A$1:$A$1001,customers!$B$1:$B$1001,,0)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9">
        <f>INDEX(products!$A$1:$G$49,MATCH(orders!$D86,products!$A$1:$A$49,0),MATCH(orders!K$1,products!$A$1:$G$1,0))</f>
        <v>0.5</v>
      </c>
      <c r="L86" s="10">
        <f>INDEX(products!$A$1:$G$49,MATCH(orders!$D86,products!$A$1:$A$49,0),MATCH(orders!L$1,products!$A$1:$G$1,0))</f>
        <v>9.51</v>
      </c>
      <c r="M86" s="10">
        <f t="shared" si="3"/>
        <v>9.51</v>
      </c>
      <c r="N86" t="str">
        <f t="shared" si="4"/>
        <v>Liberica</v>
      </c>
      <c r="O86" t="str">
        <f t="shared" si="5"/>
        <v>Light</v>
      </c>
      <c r="P86" t="str">
        <f>_xlfn.XLOOKUP(Table1[[#This Row],[Customer ID]],customers!$A$1:$A$1001,customers!$I$1:$I$1001,,0)</f>
        <v>No</v>
      </c>
    </row>
    <row r="87" spans="1:16" x14ac:dyDescent="0.25">
      <c r="A87" s="2" t="s">
        <v>971</v>
      </c>
      <c r="B87" s="8">
        <v>43664</v>
      </c>
      <c r="C87" s="2" t="s">
        <v>972</v>
      </c>
      <c r="D87" t="s">
        <v>6182</v>
      </c>
      <c r="E87" s="2">
        <v>3</v>
      </c>
      <c r="F87" s="2" t="str">
        <f>_xlfn.XLOOKUP(orders!C87,customers!$A$1:$A$1001,customers!$B$1:$B$1001,,0)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9">
        <f>INDEX(products!$A$1:$G$49,MATCH(orders!$D87,products!$A$1:$A$49,0),MATCH(orders!K$1,products!$A$1:$G$1,0))</f>
        <v>2.5</v>
      </c>
      <c r="L87" s="10">
        <f>INDEX(products!$A$1:$G$49,MATCH(orders!$D87,products!$A$1:$A$49,0),MATCH(orders!L$1,products!$A$1:$G$1,0))</f>
        <v>29.784999999999997</v>
      </c>
      <c r="M87" s="10">
        <f t="shared" si="3"/>
        <v>89.35499999999999</v>
      </c>
      <c r="N87" t="str">
        <f t="shared" si="4"/>
        <v>Arabica</v>
      </c>
      <c r="O87" t="str">
        <f t="shared" si="5"/>
        <v>Light</v>
      </c>
      <c r="P87" t="str">
        <f>_xlfn.XLOOKUP(Table1[[#This Row],[Customer ID]],customers!$A$1:$A$1001,customers!$I$1:$I$1001,,0)</f>
        <v>No</v>
      </c>
    </row>
    <row r="88" spans="1:16" x14ac:dyDescent="0.25">
      <c r="A88" s="2" t="s">
        <v>971</v>
      </c>
      <c r="B88" s="8">
        <v>43664</v>
      </c>
      <c r="C88" s="2" t="s">
        <v>972</v>
      </c>
      <c r="D88" t="s">
        <v>6154</v>
      </c>
      <c r="E88" s="2">
        <v>4</v>
      </c>
      <c r="F88" s="2" t="str">
        <f>_xlfn.XLOOKUP(orders!C88,customers!$A$1:$A$1001,customers!$B$1:$B$1001,,0)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9">
        <f>INDEX(products!$A$1:$G$49,MATCH(orders!$D88,products!$A$1:$A$49,0),MATCH(orders!K$1,products!$A$1:$G$1,0))</f>
        <v>0.2</v>
      </c>
      <c r="L88" s="10">
        <f>INDEX(products!$A$1:$G$49,MATCH(orders!$D88,products!$A$1:$A$49,0),MATCH(orders!L$1,products!$A$1:$G$1,0))</f>
        <v>2.9849999999999999</v>
      </c>
      <c r="M88" s="10">
        <f t="shared" si="3"/>
        <v>11.94</v>
      </c>
      <c r="N88" t="str">
        <f t="shared" si="4"/>
        <v>Arabica</v>
      </c>
      <c r="O88" t="str">
        <f t="shared" si="5"/>
        <v>Dark</v>
      </c>
      <c r="P88" t="str">
        <f>_xlfn.XLOOKUP(Table1[[#This Row],[Customer ID]],customers!$A$1:$A$1001,customers!$I$1:$I$1001,,0)</f>
        <v>No</v>
      </c>
    </row>
    <row r="89" spans="1:16" x14ac:dyDescent="0.25">
      <c r="A89" s="2" t="s">
        <v>980</v>
      </c>
      <c r="B89" s="8">
        <v>44289</v>
      </c>
      <c r="C89" s="2" t="s">
        <v>981</v>
      </c>
      <c r="D89" t="s">
        <v>6155</v>
      </c>
      <c r="E89" s="2">
        <v>3</v>
      </c>
      <c r="F89" s="2" t="str">
        <f>_xlfn.XLOOKUP(orders!C89,customers!$A$1:$A$1001,customers!$B$1:$B$1001,,0)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9">
        <f>INDEX(products!$A$1:$G$49,MATCH(orders!$D89,products!$A$1:$A$49,0),MATCH(orders!K$1,products!$A$1:$G$1,0))</f>
        <v>1</v>
      </c>
      <c r="L89" s="10">
        <f>INDEX(products!$A$1:$G$49,MATCH(orders!$D89,products!$A$1:$A$49,0),MATCH(orders!L$1,products!$A$1:$G$1,0))</f>
        <v>11.25</v>
      </c>
      <c r="M89" s="10">
        <f t="shared" si="3"/>
        <v>33.75</v>
      </c>
      <c r="N89" t="str">
        <f t="shared" si="4"/>
        <v>Arabica</v>
      </c>
      <c r="O89" t="str">
        <f t="shared" si="5"/>
        <v>Medium</v>
      </c>
      <c r="P89" t="str">
        <f>_xlfn.XLOOKUP(Table1[[#This Row],[Customer ID]],customers!$A$1:$A$1001,customers!$I$1:$I$1001,,0)</f>
        <v>No</v>
      </c>
    </row>
    <row r="90" spans="1:16" x14ac:dyDescent="0.25">
      <c r="A90" s="2" t="s">
        <v>985</v>
      </c>
      <c r="B90" s="8">
        <v>44284</v>
      </c>
      <c r="C90" s="2" t="s">
        <v>986</v>
      </c>
      <c r="D90" t="s">
        <v>6179</v>
      </c>
      <c r="E90" s="2">
        <v>3</v>
      </c>
      <c r="F90" s="2" t="str">
        <f>_xlfn.XLOOKUP(orders!C90,customers!$A$1:$A$1001,customers!$B$1:$B$1001,,0)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9">
        <f>INDEX(products!$A$1:$G$49,MATCH(orders!$D90,products!$A$1:$A$49,0),MATCH(orders!K$1,products!$A$1:$G$1,0))</f>
        <v>1</v>
      </c>
      <c r="L90" s="10">
        <f>INDEX(products!$A$1:$G$49,MATCH(orders!$D90,products!$A$1:$A$49,0),MATCH(orders!L$1,products!$A$1:$G$1,0))</f>
        <v>11.95</v>
      </c>
      <c r="M90" s="10">
        <f t="shared" si="3"/>
        <v>35.849999999999994</v>
      </c>
      <c r="N90" t="str">
        <f t="shared" si="4"/>
        <v>Robusta</v>
      </c>
      <c r="O90" t="str">
        <f t="shared" si="5"/>
        <v>Light</v>
      </c>
      <c r="P90" t="str">
        <f>_xlfn.XLOOKUP(Table1[[#This Row],[Customer ID]],customers!$A$1:$A$1001,customers!$I$1:$I$1001,,0)</f>
        <v>No</v>
      </c>
    </row>
    <row r="91" spans="1:16" x14ac:dyDescent="0.25">
      <c r="A91" s="2" t="s">
        <v>990</v>
      </c>
      <c r="B91" s="8">
        <v>44545</v>
      </c>
      <c r="C91" s="2" t="s">
        <v>991</v>
      </c>
      <c r="D91" t="s">
        <v>6140</v>
      </c>
      <c r="E91" s="2">
        <v>6</v>
      </c>
      <c r="F91" s="2" t="str">
        <f>_xlfn.XLOOKUP(orders!C91,customers!$A$1:$A$1001,customers!$B$1:$B$1001,,0)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9">
        <f>INDEX(products!$A$1:$G$49,MATCH(orders!$D91,products!$A$1:$A$49,0),MATCH(orders!K$1,products!$A$1:$G$1,0))</f>
        <v>1</v>
      </c>
      <c r="L91" s="10">
        <f>INDEX(products!$A$1:$G$49,MATCH(orders!$D91,products!$A$1:$A$49,0),MATCH(orders!L$1,products!$A$1:$G$1,0))</f>
        <v>12.95</v>
      </c>
      <c r="M91" s="10">
        <f t="shared" si="3"/>
        <v>77.699999999999989</v>
      </c>
      <c r="N91" t="str">
        <f t="shared" si="4"/>
        <v>Arabica</v>
      </c>
      <c r="O91" t="str">
        <f t="shared" si="5"/>
        <v>Light</v>
      </c>
      <c r="P91" t="str">
        <f>_xlfn.XLOOKUP(Table1[[#This Row],[Customer ID]],customers!$A$1:$A$1001,customers!$I$1:$I$1001,,0)</f>
        <v>No</v>
      </c>
    </row>
    <row r="92" spans="1:16" x14ac:dyDescent="0.25">
      <c r="A92" s="2" t="s">
        <v>996</v>
      </c>
      <c r="B92" s="8">
        <v>43971</v>
      </c>
      <c r="C92" s="2" t="s">
        <v>997</v>
      </c>
      <c r="D92" t="s">
        <v>6140</v>
      </c>
      <c r="E92" s="2">
        <v>4</v>
      </c>
      <c r="F92" s="2" t="str">
        <f>_xlfn.XLOOKUP(orders!C92,customers!$A$1:$A$1001,customers!$B$1:$B$1001,,0)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9">
        <f>INDEX(products!$A$1:$G$49,MATCH(orders!$D92,products!$A$1:$A$49,0),MATCH(orders!K$1,products!$A$1:$G$1,0))</f>
        <v>1</v>
      </c>
      <c r="L92" s="10">
        <f>INDEX(products!$A$1:$G$49,MATCH(orders!$D92,products!$A$1:$A$49,0),MATCH(orders!L$1,products!$A$1:$G$1,0))</f>
        <v>12.95</v>
      </c>
      <c r="M92" s="10">
        <f t="shared" si="3"/>
        <v>51.8</v>
      </c>
      <c r="N92" t="str">
        <f t="shared" si="4"/>
        <v>Arabica</v>
      </c>
      <c r="O92" t="str">
        <f t="shared" si="5"/>
        <v>Light</v>
      </c>
      <c r="P92" t="str">
        <f>_xlfn.XLOOKUP(Table1[[#This Row],[Customer ID]],customers!$A$1:$A$1001,customers!$I$1:$I$1001,,0)</f>
        <v>Yes</v>
      </c>
    </row>
    <row r="93" spans="1:16" x14ac:dyDescent="0.25">
      <c r="A93" s="2" t="s">
        <v>1001</v>
      </c>
      <c r="B93" s="8">
        <v>44137</v>
      </c>
      <c r="C93" s="2" t="s">
        <v>1002</v>
      </c>
      <c r="D93" t="s">
        <v>6175</v>
      </c>
      <c r="E93" s="2">
        <v>4</v>
      </c>
      <c r="F93" s="2" t="str">
        <f>_xlfn.XLOOKUP(orders!C93,customers!$A$1:$A$1001,customers!$B$1:$B$1001,,0)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9">
        <f>INDEX(products!$A$1:$G$49,MATCH(orders!$D93,products!$A$1:$A$49,0),MATCH(orders!K$1,products!$A$1:$G$1,0))</f>
        <v>2.5</v>
      </c>
      <c r="L93" s="10">
        <f>INDEX(products!$A$1:$G$49,MATCH(orders!$D93,products!$A$1:$A$49,0),MATCH(orders!L$1,products!$A$1:$G$1,0))</f>
        <v>25.874999999999996</v>
      </c>
      <c r="M93" s="10">
        <f t="shared" si="3"/>
        <v>103.49999999999999</v>
      </c>
      <c r="N93" t="str">
        <f t="shared" si="4"/>
        <v>Arabica</v>
      </c>
      <c r="O93" t="str">
        <f t="shared" si="5"/>
        <v>Medium</v>
      </c>
      <c r="P93" t="str">
        <f>_xlfn.XLOOKUP(Table1[[#This Row],[Customer ID]],customers!$A$1:$A$1001,customers!$I$1:$I$1001,,0)</f>
        <v>No</v>
      </c>
    </row>
    <row r="94" spans="1:16" x14ac:dyDescent="0.25">
      <c r="A94" s="2" t="s">
        <v>1007</v>
      </c>
      <c r="B94" s="8">
        <v>44037</v>
      </c>
      <c r="C94" s="2" t="s">
        <v>1008</v>
      </c>
      <c r="D94" t="s">
        <v>6171</v>
      </c>
      <c r="E94" s="2">
        <v>3</v>
      </c>
      <c r="F94" s="2" t="str">
        <f>_xlfn.XLOOKUP(orders!C94,customers!$A$1:$A$1001,customers!$B$1:$B$1001,,0)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9">
        <f>INDEX(products!$A$1:$G$49,MATCH(orders!$D94,products!$A$1:$A$49,0),MATCH(orders!K$1,products!$A$1:$G$1,0))</f>
        <v>1</v>
      </c>
      <c r="L94" s="10">
        <f>INDEX(products!$A$1:$G$49,MATCH(orders!$D94,products!$A$1:$A$49,0),MATCH(orders!L$1,products!$A$1:$G$1,0))</f>
        <v>14.85</v>
      </c>
      <c r="M94" s="10">
        <f t="shared" si="3"/>
        <v>44.55</v>
      </c>
      <c r="N94" t="str">
        <f t="shared" si="4"/>
        <v>Excelsa</v>
      </c>
      <c r="O94" t="str">
        <f t="shared" si="5"/>
        <v>Light</v>
      </c>
      <c r="P94" t="str">
        <f>_xlfn.XLOOKUP(Table1[[#This Row],[Customer ID]],customers!$A$1:$A$1001,customers!$I$1:$I$1001,,0)</f>
        <v>Yes</v>
      </c>
    </row>
    <row r="95" spans="1:16" x14ac:dyDescent="0.25">
      <c r="A95" s="2" t="s">
        <v>1012</v>
      </c>
      <c r="B95" s="8">
        <v>43538</v>
      </c>
      <c r="C95" s="2" t="s">
        <v>1013</v>
      </c>
      <c r="D95" t="s">
        <v>6176</v>
      </c>
      <c r="E95" s="2">
        <v>4</v>
      </c>
      <c r="F95" s="2" t="str">
        <f>_xlfn.XLOOKUP(orders!C95,customers!$A$1:$A$1001,customers!$B$1:$B$1001,,0)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9">
        <f>INDEX(products!$A$1:$G$49,MATCH(orders!$D95,products!$A$1:$A$49,0),MATCH(orders!K$1,products!$A$1:$G$1,0))</f>
        <v>0.5</v>
      </c>
      <c r="L95" s="10">
        <f>INDEX(products!$A$1:$G$49,MATCH(orders!$D95,products!$A$1:$A$49,0),MATCH(orders!L$1,products!$A$1:$G$1,0))</f>
        <v>8.91</v>
      </c>
      <c r="M95" s="10">
        <f t="shared" si="3"/>
        <v>35.64</v>
      </c>
      <c r="N95" t="str">
        <f t="shared" si="4"/>
        <v>Excelsa</v>
      </c>
      <c r="O95" t="str">
        <f t="shared" si="5"/>
        <v>Light</v>
      </c>
      <c r="P95" t="str">
        <f>_xlfn.XLOOKUP(Table1[[#This Row],[Customer ID]],customers!$A$1:$A$1001,customers!$I$1:$I$1001,,0)</f>
        <v>Yes</v>
      </c>
    </row>
    <row r="96" spans="1:16" x14ac:dyDescent="0.25">
      <c r="A96" s="2" t="s">
        <v>1018</v>
      </c>
      <c r="B96" s="8">
        <v>44014</v>
      </c>
      <c r="C96" s="2" t="s">
        <v>1019</v>
      </c>
      <c r="D96" t="s">
        <v>6154</v>
      </c>
      <c r="E96" s="2">
        <v>6</v>
      </c>
      <c r="F96" s="2" t="str">
        <f>_xlfn.XLOOKUP(orders!C96,customers!$A$1:$A$1001,customers!$B$1:$B$1001,,0)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9">
        <f>INDEX(products!$A$1:$G$49,MATCH(orders!$D96,products!$A$1:$A$49,0),MATCH(orders!K$1,products!$A$1:$G$1,0))</f>
        <v>0.2</v>
      </c>
      <c r="L96" s="10">
        <f>INDEX(products!$A$1:$G$49,MATCH(orders!$D96,products!$A$1:$A$49,0),MATCH(orders!L$1,products!$A$1:$G$1,0))</f>
        <v>2.9849999999999999</v>
      </c>
      <c r="M96" s="10">
        <f t="shared" si="3"/>
        <v>17.91</v>
      </c>
      <c r="N96" t="str">
        <f t="shared" si="4"/>
        <v>Arabica</v>
      </c>
      <c r="O96" t="str">
        <f t="shared" si="5"/>
        <v>Dark</v>
      </c>
      <c r="P96" t="str">
        <f>_xlfn.XLOOKUP(Table1[[#This Row],[Customer ID]],customers!$A$1:$A$1001,customers!$I$1:$I$1001,,0)</f>
        <v>Yes</v>
      </c>
    </row>
    <row r="97" spans="1:16" x14ac:dyDescent="0.25">
      <c r="A97" s="2" t="s">
        <v>1022</v>
      </c>
      <c r="B97" s="8">
        <v>43816</v>
      </c>
      <c r="C97" s="2" t="s">
        <v>1023</v>
      </c>
      <c r="D97" t="s">
        <v>6175</v>
      </c>
      <c r="E97" s="2">
        <v>6</v>
      </c>
      <c r="F97" s="2" t="str">
        <f>_xlfn.XLOOKUP(orders!C97,customers!$A$1:$A$1001,customers!$B$1:$B$1001,,0)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9">
        <f>INDEX(products!$A$1:$G$49,MATCH(orders!$D97,products!$A$1:$A$49,0),MATCH(orders!K$1,products!$A$1:$G$1,0))</f>
        <v>2.5</v>
      </c>
      <c r="L97" s="10">
        <f>INDEX(products!$A$1:$G$49,MATCH(orders!$D97,products!$A$1:$A$49,0),MATCH(orders!L$1,products!$A$1:$G$1,0))</f>
        <v>25.874999999999996</v>
      </c>
      <c r="M97" s="10">
        <f t="shared" si="3"/>
        <v>155.24999999999997</v>
      </c>
      <c r="N97" t="str">
        <f t="shared" si="4"/>
        <v>Arabica</v>
      </c>
      <c r="O97" t="str">
        <f t="shared" si="5"/>
        <v>Medium</v>
      </c>
      <c r="P97" t="str">
        <f>_xlfn.XLOOKUP(Table1[[#This Row],[Customer ID]],customers!$A$1:$A$1001,customers!$I$1:$I$1001,,0)</f>
        <v>No</v>
      </c>
    </row>
    <row r="98" spans="1:16" x14ac:dyDescent="0.25">
      <c r="A98" s="2" t="s">
        <v>1027</v>
      </c>
      <c r="B98" s="8">
        <v>44171</v>
      </c>
      <c r="C98" s="2" t="s">
        <v>1028</v>
      </c>
      <c r="D98" t="s">
        <v>6154</v>
      </c>
      <c r="E98" s="2">
        <v>2</v>
      </c>
      <c r="F98" s="2" t="str">
        <f>_xlfn.XLOOKUP(orders!C98,customers!$A$1:$A$1001,customers!$B$1:$B$1001,,0)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9">
        <f>INDEX(products!$A$1:$G$49,MATCH(orders!$D98,products!$A$1:$A$49,0),MATCH(orders!K$1,products!$A$1:$G$1,0))</f>
        <v>0.2</v>
      </c>
      <c r="L98" s="10">
        <f>INDEX(products!$A$1:$G$49,MATCH(orders!$D98,products!$A$1:$A$49,0),MATCH(orders!L$1,products!$A$1:$G$1,0))</f>
        <v>2.9849999999999999</v>
      </c>
      <c r="M98" s="10">
        <f t="shared" si="3"/>
        <v>5.97</v>
      </c>
      <c r="N98" t="str">
        <f t="shared" si="4"/>
        <v>Arabica</v>
      </c>
      <c r="O98" t="str">
        <f t="shared" si="5"/>
        <v>Dark</v>
      </c>
      <c r="P98" t="str">
        <f>_xlfn.XLOOKUP(Table1[[#This Row],[Customer ID]],customers!$A$1:$A$1001,customers!$I$1:$I$1001,,0)</f>
        <v>No</v>
      </c>
    </row>
    <row r="99" spans="1:16" x14ac:dyDescent="0.25">
      <c r="A99" s="2" t="s">
        <v>1032</v>
      </c>
      <c r="B99" s="8">
        <v>44259</v>
      </c>
      <c r="C99" s="2" t="s">
        <v>1033</v>
      </c>
      <c r="D99" t="s">
        <v>6157</v>
      </c>
      <c r="E99" s="2">
        <v>2</v>
      </c>
      <c r="F99" s="2" t="str">
        <f>_xlfn.XLOOKUP(orders!C99,customers!$A$1:$A$1001,customers!$B$1:$B$1001,,0)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9">
        <f>INDEX(products!$A$1:$G$49,MATCH(orders!$D99,products!$A$1:$A$49,0),MATCH(orders!K$1,products!$A$1:$G$1,0))</f>
        <v>0.5</v>
      </c>
      <c r="L99" s="10">
        <f>INDEX(products!$A$1:$G$49,MATCH(orders!$D99,products!$A$1:$A$49,0),MATCH(orders!L$1,products!$A$1:$G$1,0))</f>
        <v>6.75</v>
      </c>
      <c r="M99" s="10">
        <f t="shared" si="3"/>
        <v>13.5</v>
      </c>
      <c r="N99" t="str">
        <f t="shared" si="4"/>
        <v>Arabica</v>
      </c>
      <c r="O99" t="str">
        <f t="shared" si="5"/>
        <v>Medium</v>
      </c>
      <c r="P99" t="str">
        <f>_xlfn.XLOOKUP(Table1[[#This Row],[Customer ID]],customers!$A$1:$A$1001,customers!$I$1:$I$1001,,0)</f>
        <v>No</v>
      </c>
    </row>
    <row r="100" spans="1:16" x14ac:dyDescent="0.25">
      <c r="A100" s="2" t="s">
        <v>1038</v>
      </c>
      <c r="B100" s="8">
        <v>44394</v>
      </c>
      <c r="C100" s="2" t="s">
        <v>1039</v>
      </c>
      <c r="D100" t="s">
        <v>6154</v>
      </c>
      <c r="E100" s="2">
        <v>1</v>
      </c>
      <c r="F100" s="2" t="str">
        <f>_xlfn.XLOOKUP(orders!C100,customers!$A$1:$A$1001,customers!$B$1:$B$1001,,0)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9">
        <f>INDEX(products!$A$1:$G$49,MATCH(orders!$D100,products!$A$1:$A$49,0),MATCH(orders!K$1,products!$A$1:$G$1,0))</f>
        <v>0.2</v>
      </c>
      <c r="L100" s="10">
        <f>INDEX(products!$A$1:$G$49,MATCH(orders!$D100,products!$A$1:$A$49,0),MATCH(orders!L$1,products!$A$1:$G$1,0))</f>
        <v>2.9849999999999999</v>
      </c>
      <c r="M100" s="10">
        <f t="shared" si="3"/>
        <v>2.9849999999999999</v>
      </c>
      <c r="N100" t="str">
        <f t="shared" si="4"/>
        <v>Arabica</v>
      </c>
      <c r="O100" t="str">
        <f t="shared" si="5"/>
        <v>Dark</v>
      </c>
      <c r="P100" t="str">
        <f>_xlfn.XLOOKUP(Table1[[#This Row],[Customer ID]],customers!$A$1:$A$1001,customers!$I$1:$I$1001,,0)</f>
        <v>No</v>
      </c>
    </row>
    <row r="101" spans="1:16" x14ac:dyDescent="0.25">
      <c r="A101" s="2" t="s">
        <v>1043</v>
      </c>
      <c r="B101" s="8">
        <v>44139</v>
      </c>
      <c r="C101" s="2" t="s">
        <v>1044</v>
      </c>
      <c r="D101" t="s">
        <v>6159</v>
      </c>
      <c r="E101" s="2">
        <v>3</v>
      </c>
      <c r="F101" s="2" t="str">
        <f>_xlfn.XLOOKUP(orders!C101,customers!$A$1:$A$1001,customers!$B$1:$B$1001,,0)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9">
        <f>INDEX(products!$A$1:$G$49,MATCH(orders!$D101,products!$A$1:$A$49,0),MATCH(orders!K$1,products!$A$1:$G$1,0))</f>
        <v>0.2</v>
      </c>
      <c r="L101" s="10">
        <f>INDEX(products!$A$1:$G$49,MATCH(orders!$D101,products!$A$1:$A$49,0),MATCH(orders!L$1,products!$A$1:$G$1,0))</f>
        <v>4.3650000000000002</v>
      </c>
      <c r="M101" s="10">
        <f t="shared" si="3"/>
        <v>13.095000000000001</v>
      </c>
      <c r="N101" t="str">
        <f t="shared" si="4"/>
        <v>Liberica</v>
      </c>
      <c r="O101" t="str">
        <f t="shared" si="5"/>
        <v>Medium</v>
      </c>
      <c r="P101" t="str">
        <f>_xlfn.XLOOKUP(Table1[[#This Row],[Customer ID]],customers!$A$1:$A$1001,customers!$I$1:$I$1001,,0)</f>
        <v>Yes</v>
      </c>
    </row>
    <row r="102" spans="1:16" x14ac:dyDescent="0.25">
      <c r="A102" s="2" t="s">
        <v>1048</v>
      </c>
      <c r="B102" s="8">
        <v>44291</v>
      </c>
      <c r="C102" s="2" t="s">
        <v>1049</v>
      </c>
      <c r="D102" t="s">
        <v>6167</v>
      </c>
      <c r="E102" s="2">
        <v>2</v>
      </c>
      <c r="F102" s="2" t="str">
        <f>_xlfn.XLOOKUP(orders!C102,customers!$A$1:$A$1001,customers!$B$1:$B$1001,,0)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9">
        <f>INDEX(products!$A$1:$G$49,MATCH(orders!$D102,products!$A$1:$A$49,0),MATCH(orders!K$1,products!$A$1:$G$1,0))</f>
        <v>0.2</v>
      </c>
      <c r="L102" s="10">
        <f>INDEX(products!$A$1:$G$49,MATCH(orders!$D102,products!$A$1:$A$49,0),MATCH(orders!L$1,products!$A$1:$G$1,0))</f>
        <v>3.8849999999999998</v>
      </c>
      <c r="M102" s="10">
        <f t="shared" si="3"/>
        <v>7.77</v>
      </c>
      <c r="N102" t="str">
        <f t="shared" si="4"/>
        <v>Arabica</v>
      </c>
      <c r="O102" t="str">
        <f t="shared" si="5"/>
        <v>Light</v>
      </c>
      <c r="P102" t="str">
        <f>_xlfn.XLOOKUP(Table1[[#This Row],[Customer ID]],customers!$A$1:$A$1001,customers!$I$1:$I$1001,,0)</f>
        <v>Yes</v>
      </c>
    </row>
    <row r="103" spans="1:16" x14ac:dyDescent="0.25">
      <c r="A103" s="2" t="s">
        <v>1053</v>
      </c>
      <c r="B103" s="8">
        <v>43891</v>
      </c>
      <c r="C103" s="2" t="s">
        <v>1054</v>
      </c>
      <c r="D103" t="s">
        <v>6165</v>
      </c>
      <c r="E103" s="2">
        <v>5</v>
      </c>
      <c r="F103" s="2" t="str">
        <f>_xlfn.XLOOKUP(orders!C103,customers!$A$1:$A$1001,customers!$B$1:$B$1001,,0)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9">
        <f>INDEX(products!$A$1:$G$49,MATCH(orders!$D103,products!$A$1:$A$49,0),MATCH(orders!K$1,products!$A$1:$G$1,0))</f>
        <v>2.5</v>
      </c>
      <c r="L103" s="10">
        <f>INDEX(products!$A$1:$G$49,MATCH(orders!$D103,products!$A$1:$A$49,0),MATCH(orders!L$1,products!$A$1:$G$1,0))</f>
        <v>29.784999999999997</v>
      </c>
      <c r="M103" s="10">
        <f t="shared" si="3"/>
        <v>148.92499999999998</v>
      </c>
      <c r="N103" t="str">
        <f t="shared" si="4"/>
        <v>Liberica</v>
      </c>
      <c r="O103" t="str">
        <f t="shared" si="5"/>
        <v>Dark</v>
      </c>
      <c r="P103" t="str">
        <f>_xlfn.XLOOKUP(Table1[[#This Row],[Customer ID]],customers!$A$1:$A$1001,customers!$I$1:$I$1001,,0)</f>
        <v>Yes</v>
      </c>
    </row>
    <row r="104" spans="1:16" x14ac:dyDescent="0.25">
      <c r="A104" s="2" t="s">
        <v>1059</v>
      </c>
      <c r="B104" s="8">
        <v>44488</v>
      </c>
      <c r="C104" s="2" t="s">
        <v>1060</v>
      </c>
      <c r="D104" t="s">
        <v>6143</v>
      </c>
      <c r="E104" s="2">
        <v>3</v>
      </c>
      <c r="F104" s="2" t="str">
        <f>_xlfn.XLOOKUP(orders!C104,customers!$A$1:$A$1001,customers!$B$1:$B$1001,,0)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9">
        <f>INDEX(products!$A$1:$G$49,MATCH(orders!$D104,products!$A$1:$A$49,0),MATCH(orders!K$1,products!$A$1:$G$1,0))</f>
        <v>1</v>
      </c>
      <c r="L104" s="10">
        <f>INDEX(products!$A$1:$G$49,MATCH(orders!$D104,products!$A$1:$A$49,0),MATCH(orders!L$1,products!$A$1:$G$1,0))</f>
        <v>12.95</v>
      </c>
      <c r="M104" s="10">
        <f t="shared" si="3"/>
        <v>38.849999999999994</v>
      </c>
      <c r="N104" t="str">
        <f t="shared" si="4"/>
        <v>Liberica</v>
      </c>
      <c r="O104" t="str">
        <f t="shared" si="5"/>
        <v>Dark</v>
      </c>
      <c r="P104" t="str">
        <f>_xlfn.XLOOKUP(Table1[[#This Row],[Customer ID]],customers!$A$1:$A$1001,customers!$I$1:$I$1001,,0)</f>
        <v>Yes</v>
      </c>
    </row>
    <row r="105" spans="1:16" x14ac:dyDescent="0.25">
      <c r="A105" s="2" t="s">
        <v>1065</v>
      </c>
      <c r="B105" s="8">
        <v>44750</v>
      </c>
      <c r="C105" s="2" t="s">
        <v>1066</v>
      </c>
      <c r="D105" t="s">
        <v>6174</v>
      </c>
      <c r="E105" s="2">
        <v>4</v>
      </c>
      <c r="F105" s="2" t="str">
        <f>_xlfn.XLOOKUP(orders!C105,customers!$A$1:$A$1001,customers!$B$1:$B$1001,,0)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9">
        <f>INDEX(products!$A$1:$G$49,MATCH(orders!$D105,products!$A$1:$A$49,0),MATCH(orders!K$1,products!$A$1:$G$1,0))</f>
        <v>0.2</v>
      </c>
      <c r="L105" s="10">
        <f>INDEX(products!$A$1:$G$49,MATCH(orders!$D105,products!$A$1:$A$49,0),MATCH(orders!L$1,products!$A$1:$G$1,0))</f>
        <v>2.9849999999999999</v>
      </c>
      <c r="M105" s="10">
        <f t="shared" si="3"/>
        <v>11.94</v>
      </c>
      <c r="N105" t="str">
        <f t="shared" si="4"/>
        <v>Robusta</v>
      </c>
      <c r="O105" t="str">
        <f t="shared" si="5"/>
        <v>Medium</v>
      </c>
      <c r="P105" t="str">
        <f>_xlfn.XLOOKUP(Table1[[#This Row],[Customer ID]],customers!$A$1:$A$1001,customers!$I$1:$I$1001,,0)</f>
        <v>No</v>
      </c>
    </row>
    <row r="106" spans="1:16" x14ac:dyDescent="0.25">
      <c r="A106" s="2" t="s">
        <v>1071</v>
      </c>
      <c r="B106" s="8">
        <v>43694</v>
      </c>
      <c r="C106" s="2" t="s">
        <v>1072</v>
      </c>
      <c r="D106" t="s">
        <v>6162</v>
      </c>
      <c r="E106" s="2">
        <v>6</v>
      </c>
      <c r="F106" s="2" t="str">
        <f>_xlfn.XLOOKUP(orders!C106,customers!$A$1:$A$1001,customers!$B$1:$B$1001,,0)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9">
        <f>INDEX(products!$A$1:$G$49,MATCH(orders!$D106,products!$A$1:$A$49,0),MATCH(orders!K$1,products!$A$1:$G$1,0))</f>
        <v>1</v>
      </c>
      <c r="L106" s="10">
        <f>INDEX(products!$A$1:$G$49,MATCH(orders!$D106,products!$A$1:$A$49,0),MATCH(orders!L$1,products!$A$1:$G$1,0))</f>
        <v>14.55</v>
      </c>
      <c r="M106" s="10">
        <f t="shared" si="3"/>
        <v>87.300000000000011</v>
      </c>
      <c r="N106" t="str">
        <f t="shared" si="4"/>
        <v>Liberica</v>
      </c>
      <c r="O106" t="str">
        <f t="shared" si="5"/>
        <v>Medium</v>
      </c>
      <c r="P106" t="str">
        <f>_xlfn.XLOOKUP(Table1[[#This Row],[Customer ID]],customers!$A$1:$A$1001,customers!$I$1:$I$1001,,0)</f>
        <v>No</v>
      </c>
    </row>
    <row r="107" spans="1:16" x14ac:dyDescent="0.25">
      <c r="A107" s="2" t="s">
        <v>1077</v>
      </c>
      <c r="B107" s="8">
        <v>43982</v>
      </c>
      <c r="C107" s="2" t="s">
        <v>1078</v>
      </c>
      <c r="D107" t="s">
        <v>6157</v>
      </c>
      <c r="E107" s="2">
        <v>6</v>
      </c>
      <c r="F107" s="2" t="str">
        <f>_xlfn.XLOOKUP(orders!C107,customers!$A$1:$A$1001,customers!$B$1:$B$1001,,0)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9">
        <f>INDEX(products!$A$1:$G$49,MATCH(orders!$D107,products!$A$1:$A$49,0),MATCH(orders!K$1,products!$A$1:$G$1,0))</f>
        <v>0.5</v>
      </c>
      <c r="L107" s="10">
        <f>INDEX(products!$A$1:$G$49,MATCH(orders!$D107,products!$A$1:$A$49,0),MATCH(orders!L$1,products!$A$1:$G$1,0))</f>
        <v>6.75</v>
      </c>
      <c r="M107" s="10">
        <f t="shared" si="3"/>
        <v>40.5</v>
      </c>
      <c r="N107" t="str">
        <f t="shared" si="4"/>
        <v>Arabica</v>
      </c>
      <c r="O107" t="str">
        <f t="shared" si="5"/>
        <v>Medium</v>
      </c>
      <c r="P107" t="str">
        <f>_xlfn.XLOOKUP(Table1[[#This Row],[Customer ID]],customers!$A$1:$A$1001,customers!$I$1:$I$1001,,0)</f>
        <v>Yes</v>
      </c>
    </row>
    <row r="108" spans="1:16" x14ac:dyDescent="0.25">
      <c r="A108" s="2" t="s">
        <v>1083</v>
      </c>
      <c r="B108" s="8">
        <v>43956</v>
      </c>
      <c r="C108" s="2" t="s">
        <v>1084</v>
      </c>
      <c r="D108" t="s">
        <v>6183</v>
      </c>
      <c r="E108" s="2">
        <v>2</v>
      </c>
      <c r="F108" s="2" t="str">
        <f>_xlfn.XLOOKUP(orders!C108,customers!$A$1:$A$1001,customers!$B$1:$B$1001,,0)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9">
        <f>INDEX(products!$A$1:$G$49,MATCH(orders!$D108,products!$A$1:$A$49,0),MATCH(orders!K$1,products!$A$1:$G$1,0))</f>
        <v>1</v>
      </c>
      <c r="L108" s="10">
        <f>INDEX(products!$A$1:$G$49,MATCH(orders!$D108,products!$A$1:$A$49,0),MATCH(orders!L$1,products!$A$1:$G$1,0))</f>
        <v>12.15</v>
      </c>
      <c r="M108" s="10">
        <f t="shared" si="3"/>
        <v>24.3</v>
      </c>
      <c r="N108" t="str">
        <f t="shared" si="4"/>
        <v>Excelsa</v>
      </c>
      <c r="O108" t="str">
        <f t="shared" si="5"/>
        <v>Dark</v>
      </c>
      <c r="P108" t="str">
        <f>_xlfn.XLOOKUP(Table1[[#This Row],[Customer ID]],customers!$A$1:$A$1001,customers!$I$1:$I$1001,,0)</f>
        <v>No</v>
      </c>
    </row>
    <row r="109" spans="1:16" x14ac:dyDescent="0.25">
      <c r="A109" s="2" t="s">
        <v>1089</v>
      </c>
      <c r="B109" s="8">
        <v>43569</v>
      </c>
      <c r="C109" s="2" t="s">
        <v>1090</v>
      </c>
      <c r="D109" t="s">
        <v>6146</v>
      </c>
      <c r="E109" s="2">
        <v>3</v>
      </c>
      <c r="F109" s="2" t="str">
        <f>_xlfn.XLOOKUP(orders!C109,customers!$A$1:$A$1001,customers!$B$1:$B$1001,,0)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9">
        <f>INDEX(products!$A$1:$G$49,MATCH(orders!$D109,products!$A$1:$A$49,0),MATCH(orders!K$1,products!$A$1:$G$1,0))</f>
        <v>0.5</v>
      </c>
      <c r="L109" s="10">
        <f>INDEX(products!$A$1:$G$49,MATCH(orders!$D109,products!$A$1:$A$49,0),MATCH(orders!L$1,products!$A$1:$G$1,0))</f>
        <v>5.97</v>
      </c>
      <c r="M109" s="10">
        <f t="shared" si="3"/>
        <v>17.91</v>
      </c>
      <c r="N109" t="str">
        <f t="shared" si="4"/>
        <v>Robusta</v>
      </c>
      <c r="O109" t="str">
        <f t="shared" si="5"/>
        <v>Medium</v>
      </c>
      <c r="P109" t="str">
        <f>_xlfn.XLOOKUP(Table1[[#This Row],[Customer ID]],customers!$A$1:$A$1001,customers!$I$1:$I$1001,,0)</f>
        <v>Yes</v>
      </c>
    </row>
    <row r="110" spans="1:16" x14ac:dyDescent="0.25">
      <c r="A110" s="2" t="s">
        <v>1095</v>
      </c>
      <c r="B110" s="8">
        <v>44041</v>
      </c>
      <c r="C110" s="2" t="s">
        <v>1096</v>
      </c>
      <c r="D110" t="s">
        <v>6157</v>
      </c>
      <c r="E110" s="2">
        <v>4</v>
      </c>
      <c r="F110" s="2" t="str">
        <f>_xlfn.XLOOKUP(orders!C110,customers!$A$1:$A$1001,customers!$B$1:$B$1001,,0)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9">
        <f>INDEX(products!$A$1:$G$49,MATCH(orders!$D110,products!$A$1:$A$49,0),MATCH(orders!K$1,products!$A$1:$G$1,0))</f>
        <v>0.5</v>
      </c>
      <c r="L110" s="10">
        <f>INDEX(products!$A$1:$G$49,MATCH(orders!$D110,products!$A$1:$A$49,0),MATCH(orders!L$1,products!$A$1:$G$1,0))</f>
        <v>6.75</v>
      </c>
      <c r="M110" s="10">
        <f t="shared" si="3"/>
        <v>27</v>
      </c>
      <c r="N110" t="str">
        <f t="shared" si="4"/>
        <v>Arabica</v>
      </c>
      <c r="O110" t="str">
        <f t="shared" si="5"/>
        <v>Medium</v>
      </c>
      <c r="P110" t="str">
        <f>_xlfn.XLOOKUP(Table1[[#This Row],[Customer ID]],customers!$A$1:$A$1001,customers!$I$1:$I$1001,,0)</f>
        <v>No</v>
      </c>
    </row>
    <row r="111" spans="1:16" x14ac:dyDescent="0.25">
      <c r="A111" s="2" t="s">
        <v>1100</v>
      </c>
      <c r="B111" s="8">
        <v>43811</v>
      </c>
      <c r="C111" s="2" t="s">
        <v>1101</v>
      </c>
      <c r="D111" t="s">
        <v>6169</v>
      </c>
      <c r="E111" s="2">
        <v>1</v>
      </c>
      <c r="F111" s="2" t="str">
        <f>_xlfn.XLOOKUP(orders!C111,customers!$A$1:$A$1001,customers!$B$1:$B$1001,,0)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9">
        <f>INDEX(products!$A$1:$G$49,MATCH(orders!$D111,products!$A$1:$A$49,0),MATCH(orders!K$1,products!$A$1:$G$1,0))</f>
        <v>0.5</v>
      </c>
      <c r="L111" s="10">
        <f>INDEX(products!$A$1:$G$49,MATCH(orders!$D111,products!$A$1:$A$49,0),MATCH(orders!L$1,products!$A$1:$G$1,0))</f>
        <v>7.77</v>
      </c>
      <c r="M111" s="10">
        <f t="shared" si="3"/>
        <v>7.77</v>
      </c>
      <c r="N111" t="str">
        <f t="shared" si="4"/>
        <v>Liberica</v>
      </c>
      <c r="O111" t="str">
        <f t="shared" si="5"/>
        <v>Dark</v>
      </c>
      <c r="P111" t="str">
        <f>_xlfn.XLOOKUP(Table1[[#This Row],[Customer ID]],customers!$A$1:$A$1001,customers!$I$1:$I$1001,,0)</f>
        <v>Yes</v>
      </c>
    </row>
    <row r="112" spans="1:16" x14ac:dyDescent="0.25">
      <c r="A112" s="2" t="s">
        <v>1106</v>
      </c>
      <c r="B112" s="8">
        <v>44727</v>
      </c>
      <c r="C112" s="2" t="s">
        <v>1107</v>
      </c>
      <c r="D112" t="s">
        <v>6184</v>
      </c>
      <c r="E112" s="2">
        <v>3</v>
      </c>
      <c r="F112" s="2" t="str">
        <f>_xlfn.XLOOKUP(orders!C112,customers!$A$1:$A$1001,customers!$B$1:$B$1001,,0)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9">
        <f>INDEX(products!$A$1:$G$49,MATCH(orders!$D112,products!$A$1:$A$49,0),MATCH(orders!K$1,products!$A$1:$G$1,0))</f>
        <v>0.2</v>
      </c>
      <c r="L112" s="10">
        <f>INDEX(products!$A$1:$G$49,MATCH(orders!$D112,products!$A$1:$A$49,0),MATCH(orders!L$1,products!$A$1:$G$1,0))</f>
        <v>4.4550000000000001</v>
      </c>
      <c r="M112" s="10">
        <f t="shared" si="3"/>
        <v>13.365</v>
      </c>
      <c r="N112" t="str">
        <f t="shared" si="4"/>
        <v>Excelsa</v>
      </c>
      <c r="O112" t="str">
        <f t="shared" si="5"/>
        <v>Light</v>
      </c>
      <c r="P112" t="str">
        <f>_xlfn.XLOOKUP(Table1[[#This Row],[Customer ID]],customers!$A$1:$A$1001,customers!$I$1:$I$1001,,0)</f>
        <v>Yes</v>
      </c>
    </row>
    <row r="113" spans="1:16" x14ac:dyDescent="0.25">
      <c r="A113" s="2" t="s">
        <v>1112</v>
      </c>
      <c r="B113" s="8">
        <v>43642</v>
      </c>
      <c r="C113" s="2" t="s">
        <v>1113</v>
      </c>
      <c r="D113" t="s">
        <v>6172</v>
      </c>
      <c r="E113" s="2">
        <v>5</v>
      </c>
      <c r="F113" s="2" t="str">
        <f>_xlfn.XLOOKUP(orders!C113,customers!$A$1:$A$1001,customers!$B$1:$B$1001,,0)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9">
        <f>INDEX(products!$A$1:$G$49,MATCH(orders!$D113,products!$A$1:$A$49,0),MATCH(orders!K$1,products!$A$1:$G$1,0))</f>
        <v>0.5</v>
      </c>
      <c r="L113" s="10">
        <f>INDEX(products!$A$1:$G$49,MATCH(orders!$D113,products!$A$1:$A$49,0),MATCH(orders!L$1,products!$A$1:$G$1,0))</f>
        <v>5.3699999999999992</v>
      </c>
      <c r="M113" s="10">
        <f t="shared" si="3"/>
        <v>26.849999999999994</v>
      </c>
      <c r="N113" t="str">
        <f t="shared" si="4"/>
        <v>Robusta</v>
      </c>
      <c r="O113" t="str">
        <f t="shared" si="5"/>
        <v>Dark</v>
      </c>
      <c r="P113" t="str">
        <f>_xlfn.XLOOKUP(Table1[[#This Row],[Customer ID]],customers!$A$1:$A$1001,customers!$I$1:$I$1001,,0)</f>
        <v>No</v>
      </c>
    </row>
    <row r="114" spans="1:16" x14ac:dyDescent="0.25">
      <c r="A114" s="2" t="s">
        <v>1117</v>
      </c>
      <c r="B114" s="8">
        <v>44481</v>
      </c>
      <c r="C114" s="2" t="s">
        <v>1118</v>
      </c>
      <c r="D114" t="s">
        <v>6155</v>
      </c>
      <c r="E114" s="2">
        <v>1</v>
      </c>
      <c r="F114" s="2" t="str">
        <f>_xlfn.XLOOKUP(orders!C114,customers!$A$1:$A$1001,customers!$B$1:$B$1001,,0)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9">
        <f>INDEX(products!$A$1:$G$49,MATCH(orders!$D114,products!$A$1:$A$49,0),MATCH(orders!K$1,products!$A$1:$G$1,0))</f>
        <v>1</v>
      </c>
      <c r="L114" s="10">
        <f>INDEX(products!$A$1:$G$49,MATCH(orders!$D114,products!$A$1:$A$49,0),MATCH(orders!L$1,products!$A$1:$G$1,0))</f>
        <v>11.25</v>
      </c>
      <c r="M114" s="10">
        <f t="shared" si="3"/>
        <v>11.25</v>
      </c>
      <c r="N114" t="str">
        <f t="shared" si="4"/>
        <v>Arabica</v>
      </c>
      <c r="O114" t="str">
        <f t="shared" si="5"/>
        <v>Medium</v>
      </c>
      <c r="P114" t="str">
        <f>_xlfn.XLOOKUP(Table1[[#This Row],[Customer ID]],customers!$A$1:$A$1001,customers!$I$1:$I$1001,,0)</f>
        <v>No</v>
      </c>
    </row>
    <row r="115" spans="1:16" x14ac:dyDescent="0.25">
      <c r="A115" s="2" t="s">
        <v>1123</v>
      </c>
      <c r="B115" s="8">
        <v>43556</v>
      </c>
      <c r="C115" s="2" t="s">
        <v>1124</v>
      </c>
      <c r="D115" t="s">
        <v>6162</v>
      </c>
      <c r="E115" s="2">
        <v>1</v>
      </c>
      <c r="F115" s="2" t="str">
        <f>_xlfn.XLOOKUP(orders!C115,customers!$A$1:$A$1001,customers!$B$1:$B$1001,,0)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9">
        <f>INDEX(products!$A$1:$G$49,MATCH(orders!$D115,products!$A$1:$A$49,0),MATCH(orders!K$1,products!$A$1:$G$1,0))</f>
        <v>1</v>
      </c>
      <c r="L115" s="10">
        <f>INDEX(products!$A$1:$G$49,MATCH(orders!$D115,products!$A$1:$A$49,0),MATCH(orders!L$1,products!$A$1:$G$1,0))</f>
        <v>14.55</v>
      </c>
      <c r="M115" s="10">
        <f t="shared" si="3"/>
        <v>14.55</v>
      </c>
      <c r="N115" t="str">
        <f t="shared" si="4"/>
        <v>Liberica</v>
      </c>
      <c r="O115" t="str">
        <f t="shared" si="5"/>
        <v>Medium</v>
      </c>
      <c r="P115" t="str">
        <f>_xlfn.XLOOKUP(Table1[[#This Row],[Customer ID]],customers!$A$1:$A$1001,customers!$I$1:$I$1001,,0)</f>
        <v>No</v>
      </c>
    </row>
    <row r="116" spans="1:16" x14ac:dyDescent="0.25">
      <c r="A116" s="2" t="s">
        <v>1129</v>
      </c>
      <c r="B116" s="8">
        <v>44265</v>
      </c>
      <c r="C116" s="2" t="s">
        <v>1130</v>
      </c>
      <c r="D116" t="s">
        <v>6178</v>
      </c>
      <c r="E116" s="2">
        <v>4</v>
      </c>
      <c r="F116" s="2" t="str">
        <f>_xlfn.XLOOKUP(orders!C116,customers!$A$1:$A$1001,customers!$B$1:$B$1001,,0)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9">
        <f>INDEX(products!$A$1:$G$49,MATCH(orders!$D116,products!$A$1:$A$49,0),MATCH(orders!K$1,products!$A$1:$G$1,0))</f>
        <v>0.2</v>
      </c>
      <c r="L116" s="10">
        <f>INDEX(products!$A$1:$G$49,MATCH(orders!$D116,products!$A$1:$A$49,0),MATCH(orders!L$1,products!$A$1:$G$1,0))</f>
        <v>3.5849999999999995</v>
      </c>
      <c r="M116" s="10">
        <f t="shared" si="3"/>
        <v>14.339999999999998</v>
      </c>
      <c r="N116" t="str">
        <f t="shared" si="4"/>
        <v>Robusta</v>
      </c>
      <c r="O116" t="str">
        <f t="shared" si="5"/>
        <v>Light</v>
      </c>
      <c r="P116" t="str">
        <f>_xlfn.XLOOKUP(Table1[[#This Row],[Customer ID]],customers!$A$1:$A$1001,customers!$I$1:$I$1001,,0)</f>
        <v>No</v>
      </c>
    </row>
    <row r="117" spans="1:16" x14ac:dyDescent="0.25">
      <c r="A117" s="2" t="s">
        <v>1134</v>
      </c>
      <c r="B117" s="8">
        <v>43693</v>
      </c>
      <c r="C117" s="2" t="s">
        <v>1135</v>
      </c>
      <c r="D117" t="s">
        <v>6170</v>
      </c>
      <c r="E117" s="2">
        <v>1</v>
      </c>
      <c r="F117" s="2" t="str">
        <f>_xlfn.XLOOKUP(orders!C117,customers!$A$1:$A$1001,customers!$B$1:$B$1001,,0)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9">
        <f>INDEX(products!$A$1:$G$49,MATCH(orders!$D117,products!$A$1:$A$49,0),MATCH(orders!K$1,products!$A$1:$G$1,0))</f>
        <v>1</v>
      </c>
      <c r="L117" s="10">
        <f>INDEX(products!$A$1:$G$49,MATCH(orders!$D117,products!$A$1:$A$49,0),MATCH(orders!L$1,products!$A$1:$G$1,0))</f>
        <v>15.85</v>
      </c>
      <c r="M117" s="10">
        <f t="shared" si="3"/>
        <v>15.85</v>
      </c>
      <c r="N117" t="str">
        <f t="shared" si="4"/>
        <v>Liberica</v>
      </c>
      <c r="O117" t="str">
        <f t="shared" si="5"/>
        <v>Light</v>
      </c>
      <c r="P117" t="str">
        <f>_xlfn.XLOOKUP(Table1[[#This Row],[Customer ID]],customers!$A$1:$A$1001,customers!$I$1:$I$1001,,0)</f>
        <v>No</v>
      </c>
    </row>
    <row r="118" spans="1:16" x14ac:dyDescent="0.25">
      <c r="A118" s="2" t="s">
        <v>1140</v>
      </c>
      <c r="B118" s="8">
        <v>44054</v>
      </c>
      <c r="C118" s="2" t="s">
        <v>1141</v>
      </c>
      <c r="D118" t="s">
        <v>6145</v>
      </c>
      <c r="E118" s="2">
        <v>4</v>
      </c>
      <c r="F118" s="2" t="str">
        <f>_xlfn.XLOOKUP(orders!C118,customers!$A$1:$A$1001,customers!$B$1:$B$1001,,0)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9">
        <f>INDEX(products!$A$1:$G$49,MATCH(orders!$D118,products!$A$1:$A$49,0),MATCH(orders!K$1,products!$A$1:$G$1,0))</f>
        <v>0.2</v>
      </c>
      <c r="L118" s="10">
        <f>INDEX(products!$A$1:$G$49,MATCH(orders!$D118,products!$A$1:$A$49,0),MATCH(orders!L$1,products!$A$1:$G$1,0))</f>
        <v>4.7549999999999999</v>
      </c>
      <c r="M118" s="10">
        <f t="shared" si="3"/>
        <v>19.02</v>
      </c>
      <c r="N118" t="str">
        <f t="shared" si="4"/>
        <v>Liberica</v>
      </c>
      <c r="O118" t="str">
        <f t="shared" si="5"/>
        <v>Light</v>
      </c>
      <c r="P118" t="str">
        <f>_xlfn.XLOOKUP(Table1[[#This Row],[Customer ID]],customers!$A$1:$A$1001,customers!$I$1:$I$1001,,0)</f>
        <v>Yes</v>
      </c>
    </row>
    <row r="119" spans="1:16" x14ac:dyDescent="0.25">
      <c r="A119" s="2" t="s">
        <v>1146</v>
      </c>
      <c r="B119" s="8">
        <v>44656</v>
      </c>
      <c r="C119" s="2" t="s">
        <v>1147</v>
      </c>
      <c r="D119" t="s">
        <v>6161</v>
      </c>
      <c r="E119" s="2">
        <v>4</v>
      </c>
      <c r="F119" s="2" t="str">
        <f>_xlfn.XLOOKUP(orders!C119,customers!$A$1:$A$1001,customers!$B$1:$B$1001,,0)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9">
        <f>INDEX(products!$A$1:$G$49,MATCH(orders!$D119,products!$A$1:$A$49,0),MATCH(orders!K$1,products!$A$1:$G$1,0))</f>
        <v>0.5</v>
      </c>
      <c r="L119" s="10">
        <f>INDEX(products!$A$1:$G$49,MATCH(orders!$D119,products!$A$1:$A$49,0),MATCH(orders!L$1,products!$A$1:$G$1,0))</f>
        <v>9.51</v>
      </c>
      <c r="M119" s="10">
        <f t="shared" si="3"/>
        <v>38.04</v>
      </c>
      <c r="N119" t="str">
        <f t="shared" si="4"/>
        <v>Liberica</v>
      </c>
      <c r="O119" t="str">
        <f t="shared" si="5"/>
        <v>Light</v>
      </c>
      <c r="P119" t="str">
        <f>_xlfn.XLOOKUP(Table1[[#This Row],[Customer ID]],customers!$A$1:$A$1001,customers!$I$1:$I$1001,,0)</f>
        <v>No</v>
      </c>
    </row>
    <row r="120" spans="1:16" x14ac:dyDescent="0.25">
      <c r="A120" s="2" t="s">
        <v>1152</v>
      </c>
      <c r="B120" s="8">
        <v>43760</v>
      </c>
      <c r="C120" s="2" t="s">
        <v>1153</v>
      </c>
      <c r="D120" t="s">
        <v>6144</v>
      </c>
      <c r="E120" s="2">
        <v>3</v>
      </c>
      <c r="F120" s="2" t="str">
        <f>_xlfn.XLOOKUP(orders!C120,customers!$A$1:$A$1001,customers!$B$1:$B$1001,,0)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9">
        <f>INDEX(products!$A$1:$G$49,MATCH(orders!$D120,products!$A$1:$A$49,0),MATCH(orders!K$1,products!$A$1:$G$1,0))</f>
        <v>0.5</v>
      </c>
      <c r="L120" s="10">
        <f>INDEX(products!$A$1:$G$49,MATCH(orders!$D120,products!$A$1:$A$49,0),MATCH(orders!L$1,products!$A$1:$G$1,0))</f>
        <v>7.29</v>
      </c>
      <c r="M120" s="10">
        <f t="shared" si="3"/>
        <v>21.87</v>
      </c>
      <c r="N120" t="str">
        <f t="shared" si="4"/>
        <v>Excelsa</v>
      </c>
      <c r="O120" t="str">
        <f t="shared" si="5"/>
        <v>Dark</v>
      </c>
      <c r="P120" t="str">
        <f>_xlfn.XLOOKUP(Table1[[#This Row],[Customer ID]],customers!$A$1:$A$1001,customers!$I$1:$I$1001,,0)</f>
        <v>Yes</v>
      </c>
    </row>
    <row r="121" spans="1:16" x14ac:dyDescent="0.25">
      <c r="A121" s="2" t="s">
        <v>1158</v>
      </c>
      <c r="B121" s="8">
        <v>44471</v>
      </c>
      <c r="C121" s="2" t="s">
        <v>1159</v>
      </c>
      <c r="D121" t="s">
        <v>6156</v>
      </c>
      <c r="E121" s="2">
        <v>1</v>
      </c>
      <c r="F121" s="2" t="str">
        <f>_xlfn.XLOOKUP(orders!C121,customers!$A$1:$A$1001,customers!$B$1:$B$1001,,0)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9">
        <f>INDEX(products!$A$1:$G$49,MATCH(orders!$D121,products!$A$1:$A$49,0),MATCH(orders!K$1,products!$A$1:$G$1,0))</f>
        <v>0.2</v>
      </c>
      <c r="L121" s="10">
        <f>INDEX(products!$A$1:$G$49,MATCH(orders!$D121,products!$A$1:$A$49,0),MATCH(orders!L$1,products!$A$1:$G$1,0))</f>
        <v>4.125</v>
      </c>
      <c r="M121" s="10">
        <f t="shared" si="3"/>
        <v>4.125</v>
      </c>
      <c r="N121" t="str">
        <f t="shared" si="4"/>
        <v>Excelsa</v>
      </c>
      <c r="O121" t="str">
        <f t="shared" si="5"/>
        <v>Medium</v>
      </c>
      <c r="P121" t="str">
        <f>_xlfn.XLOOKUP(Table1[[#This Row],[Customer ID]],customers!$A$1:$A$1001,customers!$I$1:$I$1001,,0)</f>
        <v>No</v>
      </c>
    </row>
    <row r="122" spans="1:16" x14ac:dyDescent="0.25">
      <c r="A122" s="2" t="s">
        <v>1158</v>
      </c>
      <c r="B122" s="8">
        <v>44471</v>
      </c>
      <c r="C122" s="2" t="s">
        <v>1159</v>
      </c>
      <c r="D122" t="s">
        <v>6167</v>
      </c>
      <c r="E122" s="2">
        <v>1</v>
      </c>
      <c r="F122" s="2" t="str">
        <f>_xlfn.XLOOKUP(orders!C122,customers!$A$1:$A$1001,customers!$B$1:$B$1001,,0)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9">
        <f>INDEX(products!$A$1:$G$49,MATCH(orders!$D122,products!$A$1:$A$49,0),MATCH(orders!K$1,products!$A$1:$G$1,0))</f>
        <v>0.2</v>
      </c>
      <c r="L122" s="10">
        <f>INDEX(products!$A$1:$G$49,MATCH(orders!$D122,products!$A$1:$A$49,0),MATCH(orders!L$1,products!$A$1:$G$1,0))</f>
        <v>3.8849999999999998</v>
      </c>
      <c r="M122" s="10">
        <f t="shared" si="3"/>
        <v>3.8849999999999998</v>
      </c>
      <c r="N122" t="str">
        <f t="shared" si="4"/>
        <v>Arabica</v>
      </c>
      <c r="O122" t="str">
        <f t="shared" si="5"/>
        <v>Light</v>
      </c>
      <c r="P122" t="str">
        <f>_xlfn.XLOOKUP(Table1[[#This Row],[Customer ID]],customers!$A$1:$A$1001,customers!$I$1:$I$1001,,0)</f>
        <v>No</v>
      </c>
    </row>
    <row r="123" spans="1:16" x14ac:dyDescent="0.25">
      <c r="A123" s="2" t="s">
        <v>1158</v>
      </c>
      <c r="B123" s="8">
        <v>44471</v>
      </c>
      <c r="C123" s="2" t="s">
        <v>1159</v>
      </c>
      <c r="D123" t="s">
        <v>6141</v>
      </c>
      <c r="E123" s="2">
        <v>5</v>
      </c>
      <c r="F123" s="2" t="str">
        <f>_xlfn.XLOOKUP(orders!C123,customers!$A$1:$A$1001,customers!$B$1:$B$1001,,0)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9">
        <f>INDEX(products!$A$1:$G$49,MATCH(orders!$D123,products!$A$1:$A$49,0),MATCH(orders!K$1,products!$A$1:$G$1,0))</f>
        <v>1</v>
      </c>
      <c r="L123" s="10">
        <f>INDEX(products!$A$1:$G$49,MATCH(orders!$D123,products!$A$1:$A$49,0),MATCH(orders!L$1,products!$A$1:$G$1,0))</f>
        <v>13.75</v>
      </c>
      <c r="M123" s="10">
        <f t="shared" si="3"/>
        <v>68.75</v>
      </c>
      <c r="N123" t="str">
        <f t="shared" si="4"/>
        <v>Excelsa</v>
      </c>
      <c r="O123" t="str">
        <f t="shared" si="5"/>
        <v>Medium</v>
      </c>
      <c r="P123" t="str">
        <f>_xlfn.XLOOKUP(Table1[[#This Row],[Customer ID]],customers!$A$1:$A$1001,customers!$I$1:$I$1001,,0)</f>
        <v>No</v>
      </c>
    </row>
    <row r="124" spans="1:16" x14ac:dyDescent="0.25">
      <c r="A124" s="2" t="s">
        <v>1174</v>
      </c>
      <c r="B124" s="8">
        <v>44268</v>
      </c>
      <c r="C124" s="2" t="s">
        <v>1175</v>
      </c>
      <c r="D124" t="s">
        <v>6158</v>
      </c>
      <c r="E124" s="2">
        <v>4</v>
      </c>
      <c r="F124" s="2" t="str">
        <f>_xlfn.XLOOKUP(orders!C124,customers!$A$1:$A$1001,customers!$B$1:$B$1001,,0)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9">
        <f>INDEX(products!$A$1:$G$49,MATCH(orders!$D124,products!$A$1:$A$49,0),MATCH(orders!K$1,products!$A$1:$G$1,0))</f>
        <v>0.5</v>
      </c>
      <c r="L124" s="10">
        <f>INDEX(products!$A$1:$G$49,MATCH(orders!$D124,products!$A$1:$A$49,0),MATCH(orders!L$1,products!$A$1:$G$1,0))</f>
        <v>5.97</v>
      </c>
      <c r="M124" s="10">
        <f t="shared" si="3"/>
        <v>23.88</v>
      </c>
      <c r="N124" t="str">
        <f t="shared" si="4"/>
        <v>Arabica</v>
      </c>
      <c r="O124" t="str">
        <f t="shared" si="5"/>
        <v>Dark</v>
      </c>
      <c r="P124" t="str">
        <f>_xlfn.XLOOKUP(Table1[[#This Row],[Customer ID]],customers!$A$1:$A$1001,customers!$I$1:$I$1001,,0)</f>
        <v>Yes</v>
      </c>
    </row>
    <row r="125" spans="1:16" x14ac:dyDescent="0.25">
      <c r="A125" s="2" t="s">
        <v>1180</v>
      </c>
      <c r="B125" s="8">
        <v>44724</v>
      </c>
      <c r="C125" s="2" t="s">
        <v>1181</v>
      </c>
      <c r="D125" t="s">
        <v>6164</v>
      </c>
      <c r="E125" s="2">
        <v>4</v>
      </c>
      <c r="F125" s="2" t="str">
        <f>_xlfn.XLOOKUP(orders!C125,customers!$A$1:$A$1001,customers!$B$1:$B$1001,,0)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9">
        <f>INDEX(products!$A$1:$G$49,MATCH(orders!$D125,products!$A$1:$A$49,0),MATCH(orders!K$1,products!$A$1:$G$1,0))</f>
        <v>2.5</v>
      </c>
      <c r="L125" s="10">
        <f>INDEX(products!$A$1:$G$49,MATCH(orders!$D125,products!$A$1:$A$49,0),MATCH(orders!L$1,products!$A$1:$G$1,0))</f>
        <v>36.454999999999998</v>
      </c>
      <c r="M125" s="10">
        <f t="shared" si="3"/>
        <v>145.82</v>
      </c>
      <c r="N125" t="str">
        <f t="shared" si="4"/>
        <v>Liberica</v>
      </c>
      <c r="O125" t="str">
        <f t="shared" si="5"/>
        <v>Light</v>
      </c>
      <c r="P125" t="str">
        <f>_xlfn.XLOOKUP(Table1[[#This Row],[Customer ID]],customers!$A$1:$A$1001,customers!$I$1:$I$1001,,0)</f>
        <v>No</v>
      </c>
    </row>
    <row r="126" spans="1:16" x14ac:dyDescent="0.25">
      <c r="A126" s="2" t="s">
        <v>1186</v>
      </c>
      <c r="B126" s="8">
        <v>43582</v>
      </c>
      <c r="C126" s="2" t="s">
        <v>1187</v>
      </c>
      <c r="D126" t="s">
        <v>6159</v>
      </c>
      <c r="E126" s="2">
        <v>5</v>
      </c>
      <c r="F126" s="2" t="str">
        <f>_xlfn.XLOOKUP(orders!C126,customers!$A$1:$A$1001,customers!$B$1:$B$1001,,0)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9">
        <f>INDEX(products!$A$1:$G$49,MATCH(orders!$D126,products!$A$1:$A$49,0),MATCH(orders!K$1,products!$A$1:$G$1,0))</f>
        <v>0.2</v>
      </c>
      <c r="L126" s="10">
        <f>INDEX(products!$A$1:$G$49,MATCH(orders!$D126,products!$A$1:$A$49,0),MATCH(orders!L$1,products!$A$1:$G$1,0))</f>
        <v>4.3650000000000002</v>
      </c>
      <c r="M126" s="10">
        <f t="shared" si="3"/>
        <v>21.825000000000003</v>
      </c>
      <c r="N126" t="str">
        <f t="shared" si="4"/>
        <v>Liberica</v>
      </c>
      <c r="O126" t="str">
        <f t="shared" si="5"/>
        <v>Medium</v>
      </c>
      <c r="P126" t="str">
        <f>_xlfn.XLOOKUP(Table1[[#This Row],[Customer ID]],customers!$A$1:$A$1001,customers!$I$1:$I$1001,,0)</f>
        <v>Yes</v>
      </c>
    </row>
    <row r="127" spans="1:16" x14ac:dyDescent="0.25">
      <c r="A127" s="2" t="s">
        <v>1192</v>
      </c>
      <c r="B127" s="8">
        <v>43608</v>
      </c>
      <c r="C127" s="2" t="s">
        <v>1193</v>
      </c>
      <c r="D127" t="s">
        <v>6160</v>
      </c>
      <c r="E127" s="2">
        <v>3</v>
      </c>
      <c r="F127" s="2" t="str">
        <f>_xlfn.XLOOKUP(orders!C127,customers!$A$1:$A$1001,customers!$B$1:$B$1001,,0)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9">
        <f>INDEX(products!$A$1:$G$49,MATCH(orders!$D127,products!$A$1:$A$49,0),MATCH(orders!K$1,products!$A$1:$G$1,0))</f>
        <v>0.5</v>
      </c>
      <c r="L127" s="10">
        <f>INDEX(products!$A$1:$G$49,MATCH(orders!$D127,products!$A$1:$A$49,0),MATCH(orders!L$1,products!$A$1:$G$1,0))</f>
        <v>8.73</v>
      </c>
      <c r="M127" s="10">
        <f t="shared" si="3"/>
        <v>26.19</v>
      </c>
      <c r="N127" t="str">
        <f t="shared" si="4"/>
        <v>Liberica</v>
      </c>
      <c r="O127" t="str">
        <f t="shared" si="5"/>
        <v>Medium</v>
      </c>
      <c r="P127" t="str">
        <f>_xlfn.XLOOKUP(Table1[[#This Row],[Customer ID]],customers!$A$1:$A$1001,customers!$I$1:$I$1001,,0)</f>
        <v>Yes</v>
      </c>
    </row>
    <row r="128" spans="1:16" x14ac:dyDescent="0.25">
      <c r="A128" s="2" t="s">
        <v>1198</v>
      </c>
      <c r="B128" s="8">
        <v>44026</v>
      </c>
      <c r="C128" s="2" t="s">
        <v>1199</v>
      </c>
      <c r="D128" t="s">
        <v>6155</v>
      </c>
      <c r="E128" s="2">
        <v>1</v>
      </c>
      <c r="F128" s="2" t="str">
        <f>_xlfn.XLOOKUP(orders!C128,customers!$A$1:$A$1001,customers!$B$1:$B$1001,,0)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9">
        <f>INDEX(products!$A$1:$G$49,MATCH(orders!$D128,products!$A$1:$A$49,0),MATCH(orders!K$1,products!$A$1:$G$1,0))</f>
        <v>1</v>
      </c>
      <c r="L128" s="10">
        <f>INDEX(products!$A$1:$G$49,MATCH(orders!$D128,products!$A$1:$A$49,0),MATCH(orders!L$1,products!$A$1:$G$1,0))</f>
        <v>11.25</v>
      </c>
      <c r="M128" s="10">
        <f t="shared" si="3"/>
        <v>11.25</v>
      </c>
      <c r="N128" t="str">
        <f t="shared" si="4"/>
        <v>Arabica</v>
      </c>
      <c r="O128" t="str">
        <f t="shared" si="5"/>
        <v>Medium</v>
      </c>
      <c r="P128" t="str">
        <f>_xlfn.XLOOKUP(Table1[[#This Row],[Customer ID]],customers!$A$1:$A$1001,customers!$I$1:$I$1001,,0)</f>
        <v>No</v>
      </c>
    </row>
    <row r="129" spans="1:16" x14ac:dyDescent="0.25">
      <c r="A129" s="2" t="s">
        <v>1204</v>
      </c>
      <c r="B129" s="8">
        <v>44510</v>
      </c>
      <c r="C129" s="2" t="s">
        <v>1205</v>
      </c>
      <c r="D129" t="s">
        <v>6143</v>
      </c>
      <c r="E129" s="2">
        <v>6</v>
      </c>
      <c r="F129" s="2" t="str">
        <f>_xlfn.XLOOKUP(orders!C129,customers!$A$1:$A$1001,customers!$B$1:$B$1001,,0)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9">
        <f>INDEX(products!$A$1:$G$49,MATCH(orders!$D129,products!$A$1:$A$49,0),MATCH(orders!K$1,products!$A$1:$G$1,0))</f>
        <v>1</v>
      </c>
      <c r="L129" s="10">
        <f>INDEX(products!$A$1:$G$49,MATCH(orders!$D129,products!$A$1:$A$49,0),MATCH(orders!L$1,products!$A$1:$G$1,0))</f>
        <v>12.95</v>
      </c>
      <c r="M129" s="10">
        <f t="shared" si="3"/>
        <v>77.699999999999989</v>
      </c>
      <c r="N129" t="str">
        <f t="shared" si="4"/>
        <v>Liberica</v>
      </c>
      <c r="O129" t="str">
        <f t="shared" si="5"/>
        <v>Dark</v>
      </c>
      <c r="P129" t="str">
        <f>_xlfn.XLOOKUP(Table1[[#This Row],[Customer ID]],customers!$A$1:$A$1001,customers!$I$1:$I$1001,,0)</f>
        <v>No</v>
      </c>
    </row>
    <row r="130" spans="1:16" x14ac:dyDescent="0.25">
      <c r="A130" s="2" t="s">
        <v>1210</v>
      </c>
      <c r="B130" s="8">
        <v>44439</v>
      </c>
      <c r="C130" s="2" t="s">
        <v>1211</v>
      </c>
      <c r="D130" t="s">
        <v>6157</v>
      </c>
      <c r="E130" s="2">
        <v>1</v>
      </c>
      <c r="F130" s="2" t="str">
        <f>_xlfn.XLOOKUP(orders!C130,customers!$A$1:$A$1001,customers!$B$1:$B$1001,,0)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9">
        <f>INDEX(products!$A$1:$G$49,MATCH(orders!$D130,products!$A$1:$A$49,0),MATCH(orders!K$1,products!$A$1:$G$1,0))</f>
        <v>0.5</v>
      </c>
      <c r="L130" s="10">
        <f>INDEX(products!$A$1:$G$49,MATCH(orders!$D130,products!$A$1:$A$49,0),MATCH(orders!L$1,products!$A$1:$G$1,0))</f>
        <v>6.75</v>
      </c>
      <c r="M130" s="10">
        <f t="shared" si="3"/>
        <v>6.75</v>
      </c>
      <c r="N130" t="str">
        <f t="shared" si="4"/>
        <v>Arabica</v>
      </c>
      <c r="O130" t="str">
        <f t="shared" si="5"/>
        <v>Medium</v>
      </c>
      <c r="P130" t="str">
        <f>_xlfn.XLOOKUP(Table1[[#This Row],[Customer ID]],customers!$A$1:$A$1001,customers!$I$1:$I$1001,,0)</f>
        <v>No</v>
      </c>
    </row>
    <row r="131" spans="1:16" x14ac:dyDescent="0.25">
      <c r="A131" s="2" t="s">
        <v>1216</v>
      </c>
      <c r="B131" s="8">
        <v>43652</v>
      </c>
      <c r="C131" s="2" t="s">
        <v>1217</v>
      </c>
      <c r="D131" t="s">
        <v>6183</v>
      </c>
      <c r="E131" s="2">
        <v>1</v>
      </c>
      <c r="F131" s="2" t="str">
        <f>_xlfn.XLOOKUP(orders!C131,customers!$A$1:$A$1001,customers!$B$1:$B$1001,,0)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9">
        <f>INDEX(products!$A$1:$G$49,MATCH(orders!$D131,products!$A$1:$A$49,0),MATCH(orders!K$1,products!$A$1:$G$1,0))</f>
        <v>1</v>
      </c>
      <c r="L131" s="10">
        <f>INDEX(products!$A$1:$G$49,MATCH(orders!$D131,products!$A$1:$A$49,0),MATCH(orders!L$1,products!$A$1:$G$1,0))</f>
        <v>12.15</v>
      </c>
      <c r="M131" s="10">
        <f t="shared" ref="M131:M194" si="6">L131*E131</f>
        <v>12.15</v>
      </c>
      <c r="N131" t="str">
        <f t="shared" ref="N131:N194" si="7">IF(I131="Rob", "Robusta", IF(I131="Exc","Excelsa", IF(I131="Ara","Arabica", IF(I131="Lib","Liberica",""))))</f>
        <v>Excelsa</v>
      </c>
      <c r="O131" t="str">
        <f t="shared" ref="O131:O194" si="8">IF(J131="M", "Medium", IF(J131="L","Light",IF(J131="D","Dark","")))</f>
        <v>Dark</v>
      </c>
      <c r="P131" t="str">
        <f>_xlfn.XLOOKUP(Table1[[#This Row],[Customer ID]],customers!$A$1:$A$1001,customers!$I$1:$I$1001,,0)</f>
        <v>Yes</v>
      </c>
    </row>
    <row r="132" spans="1:16" x14ac:dyDescent="0.25">
      <c r="A132" s="2" t="s">
        <v>1222</v>
      </c>
      <c r="B132" s="8">
        <v>44624</v>
      </c>
      <c r="C132" s="2" t="s">
        <v>1223</v>
      </c>
      <c r="D132" t="s">
        <v>6182</v>
      </c>
      <c r="E132" s="2">
        <v>5</v>
      </c>
      <c r="F132" s="2" t="str">
        <f>_xlfn.XLOOKUP(orders!C132,customers!$A$1:$A$1001,customers!$B$1:$B$1001,,0)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9">
        <f>INDEX(products!$A$1:$G$49,MATCH(orders!$D132,products!$A$1:$A$49,0),MATCH(orders!K$1,products!$A$1:$G$1,0))</f>
        <v>2.5</v>
      </c>
      <c r="L132" s="10">
        <f>INDEX(products!$A$1:$G$49,MATCH(orders!$D132,products!$A$1:$A$49,0),MATCH(orders!L$1,products!$A$1:$G$1,0))</f>
        <v>29.784999999999997</v>
      </c>
      <c r="M132" s="10">
        <f t="shared" si="6"/>
        <v>148.92499999999998</v>
      </c>
      <c r="N132" t="str">
        <f t="shared" si="7"/>
        <v>Arabica</v>
      </c>
      <c r="O132" t="str">
        <f t="shared" si="8"/>
        <v>Light</v>
      </c>
      <c r="P132" t="str">
        <f>_xlfn.XLOOKUP(Table1[[#This Row],[Customer ID]],customers!$A$1:$A$1001,customers!$I$1:$I$1001,,0)</f>
        <v>Yes</v>
      </c>
    </row>
    <row r="133" spans="1:16" x14ac:dyDescent="0.25">
      <c r="A133" s="2" t="s">
        <v>1227</v>
      </c>
      <c r="B133" s="8">
        <v>44196</v>
      </c>
      <c r="C133" s="2" t="s">
        <v>1228</v>
      </c>
      <c r="D133" t="s">
        <v>6144</v>
      </c>
      <c r="E133" s="2">
        <v>2</v>
      </c>
      <c r="F133" s="2" t="str">
        <f>_xlfn.XLOOKUP(orders!C133,customers!$A$1:$A$1001,customers!$B$1:$B$1001,,0)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9">
        <f>INDEX(products!$A$1:$G$49,MATCH(orders!$D133,products!$A$1:$A$49,0),MATCH(orders!K$1,products!$A$1:$G$1,0))</f>
        <v>0.5</v>
      </c>
      <c r="L133" s="10">
        <f>INDEX(products!$A$1:$G$49,MATCH(orders!$D133,products!$A$1:$A$49,0),MATCH(orders!L$1,products!$A$1:$G$1,0))</f>
        <v>7.29</v>
      </c>
      <c r="M133" s="10">
        <f t="shared" si="6"/>
        <v>14.58</v>
      </c>
      <c r="N133" t="str">
        <f t="shared" si="7"/>
        <v>Excelsa</v>
      </c>
      <c r="O133" t="str">
        <f t="shared" si="8"/>
        <v>Dark</v>
      </c>
      <c r="P133" t="str">
        <f>_xlfn.XLOOKUP(Table1[[#This Row],[Customer ID]],customers!$A$1:$A$1001,customers!$I$1:$I$1001,,0)</f>
        <v>Yes</v>
      </c>
    </row>
    <row r="134" spans="1:16" x14ac:dyDescent="0.25">
      <c r="A134" s="2" t="s">
        <v>1233</v>
      </c>
      <c r="B134" s="8">
        <v>44043</v>
      </c>
      <c r="C134" s="2" t="s">
        <v>1234</v>
      </c>
      <c r="D134" t="s">
        <v>6182</v>
      </c>
      <c r="E134" s="2">
        <v>5</v>
      </c>
      <c r="F134" s="2" t="str">
        <f>_xlfn.XLOOKUP(orders!C134,customers!$A$1:$A$1001,customers!$B$1:$B$1001,,0)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9">
        <f>INDEX(products!$A$1:$G$49,MATCH(orders!$D134,products!$A$1:$A$49,0),MATCH(orders!K$1,products!$A$1:$G$1,0))</f>
        <v>2.5</v>
      </c>
      <c r="L134" s="10">
        <f>INDEX(products!$A$1:$G$49,MATCH(orders!$D134,products!$A$1:$A$49,0),MATCH(orders!L$1,products!$A$1:$G$1,0))</f>
        <v>29.784999999999997</v>
      </c>
      <c r="M134" s="10">
        <f t="shared" si="6"/>
        <v>148.92499999999998</v>
      </c>
      <c r="N134" t="str">
        <f t="shared" si="7"/>
        <v>Arabica</v>
      </c>
      <c r="O134" t="str">
        <f t="shared" si="8"/>
        <v>Light</v>
      </c>
      <c r="P134" t="str">
        <f>_xlfn.XLOOKUP(Table1[[#This Row],[Customer ID]],customers!$A$1:$A$1001,customers!$I$1:$I$1001,,0)</f>
        <v>Yes</v>
      </c>
    </row>
    <row r="135" spans="1:16" x14ac:dyDescent="0.25">
      <c r="A135" s="2" t="s">
        <v>1239</v>
      </c>
      <c r="B135" s="8">
        <v>44340</v>
      </c>
      <c r="C135" s="2" t="s">
        <v>1240</v>
      </c>
      <c r="D135" t="s">
        <v>6143</v>
      </c>
      <c r="E135" s="2">
        <v>1</v>
      </c>
      <c r="F135" s="2" t="str">
        <f>_xlfn.XLOOKUP(orders!C135,customers!$A$1:$A$1001,customers!$B$1:$B$1001,,0)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9">
        <f>INDEX(products!$A$1:$G$49,MATCH(orders!$D135,products!$A$1:$A$49,0),MATCH(orders!K$1,products!$A$1:$G$1,0))</f>
        <v>1</v>
      </c>
      <c r="L135" s="10">
        <f>INDEX(products!$A$1:$G$49,MATCH(orders!$D135,products!$A$1:$A$49,0),MATCH(orders!L$1,products!$A$1:$G$1,0))</f>
        <v>12.95</v>
      </c>
      <c r="M135" s="10">
        <f t="shared" si="6"/>
        <v>12.95</v>
      </c>
      <c r="N135" t="str">
        <f t="shared" si="7"/>
        <v>Liberica</v>
      </c>
      <c r="O135" t="str">
        <f t="shared" si="8"/>
        <v>Dark</v>
      </c>
      <c r="P135" t="str">
        <f>_xlfn.XLOOKUP(Table1[[#This Row],[Customer ID]],customers!$A$1:$A$1001,customers!$I$1:$I$1001,,0)</f>
        <v>No</v>
      </c>
    </row>
    <row r="136" spans="1:16" x14ac:dyDescent="0.25">
      <c r="A136" s="2" t="s">
        <v>1245</v>
      </c>
      <c r="B136" s="8">
        <v>44758</v>
      </c>
      <c r="C136" s="2" t="s">
        <v>1246</v>
      </c>
      <c r="D136" t="s">
        <v>6166</v>
      </c>
      <c r="E136" s="2">
        <v>3</v>
      </c>
      <c r="F136" s="2" t="str">
        <f>_xlfn.XLOOKUP(orders!C136,customers!$A$1:$A$1001,customers!$B$1:$B$1001,,0)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9">
        <f>INDEX(products!$A$1:$G$49,MATCH(orders!$D136,products!$A$1:$A$49,0),MATCH(orders!K$1,products!$A$1:$G$1,0))</f>
        <v>2.5</v>
      </c>
      <c r="L136" s="10">
        <f>INDEX(products!$A$1:$G$49,MATCH(orders!$D136,products!$A$1:$A$49,0),MATCH(orders!L$1,products!$A$1:$G$1,0))</f>
        <v>31.624999999999996</v>
      </c>
      <c r="M136" s="10">
        <f t="shared" si="6"/>
        <v>94.874999999999986</v>
      </c>
      <c r="N136" t="str">
        <f t="shared" si="7"/>
        <v>Excelsa</v>
      </c>
      <c r="O136" t="str">
        <f t="shared" si="8"/>
        <v>Medium</v>
      </c>
      <c r="P136" t="str">
        <f>_xlfn.XLOOKUP(Table1[[#This Row],[Customer ID]],customers!$A$1:$A$1001,customers!$I$1:$I$1001,,0)</f>
        <v>Yes</v>
      </c>
    </row>
    <row r="137" spans="1:16" x14ac:dyDescent="0.25">
      <c r="A137" s="2" t="s">
        <v>1249</v>
      </c>
      <c r="B137" s="8">
        <v>44232</v>
      </c>
      <c r="C137" s="2" t="s">
        <v>976</v>
      </c>
      <c r="D137" t="s">
        <v>6180</v>
      </c>
      <c r="E137" s="2">
        <v>5</v>
      </c>
      <c r="F137" s="2" t="str">
        <f>_xlfn.XLOOKUP(orders!C137,customers!$A$1:$A$1001,customers!$B$1:$B$1001,,0)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9">
        <f>INDEX(products!$A$1:$G$49,MATCH(orders!$D137,products!$A$1:$A$49,0),MATCH(orders!K$1,products!$A$1:$G$1,0))</f>
        <v>0.5</v>
      </c>
      <c r="L137" s="10">
        <f>INDEX(products!$A$1:$G$49,MATCH(orders!$D137,products!$A$1:$A$49,0),MATCH(orders!L$1,products!$A$1:$G$1,0))</f>
        <v>7.77</v>
      </c>
      <c r="M137" s="10">
        <f t="shared" si="6"/>
        <v>38.849999999999994</v>
      </c>
      <c r="N137" t="str">
        <f t="shared" si="7"/>
        <v>Arabica</v>
      </c>
      <c r="O137" t="str">
        <f t="shared" si="8"/>
        <v>Light</v>
      </c>
      <c r="P137" t="str">
        <f>_xlfn.XLOOKUP(Table1[[#This Row],[Customer ID]],customers!$A$1:$A$1001,customers!$I$1:$I$1001,,0)</f>
        <v>Yes</v>
      </c>
    </row>
    <row r="138" spans="1:16" x14ac:dyDescent="0.25">
      <c r="A138" s="2" t="s">
        <v>1255</v>
      </c>
      <c r="B138" s="8">
        <v>44406</v>
      </c>
      <c r="C138" s="2" t="s">
        <v>1256</v>
      </c>
      <c r="D138" t="s">
        <v>6154</v>
      </c>
      <c r="E138" s="2">
        <v>4</v>
      </c>
      <c r="F138" s="2" t="str">
        <f>_xlfn.XLOOKUP(orders!C138,customers!$A$1:$A$1001,customers!$B$1:$B$1001,,0)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9">
        <f>INDEX(products!$A$1:$G$49,MATCH(orders!$D138,products!$A$1:$A$49,0),MATCH(orders!K$1,products!$A$1:$G$1,0))</f>
        <v>0.2</v>
      </c>
      <c r="L138" s="10">
        <f>INDEX(products!$A$1:$G$49,MATCH(orders!$D138,products!$A$1:$A$49,0),MATCH(orders!L$1,products!$A$1:$G$1,0))</f>
        <v>2.9849999999999999</v>
      </c>
      <c r="M138" s="10">
        <f t="shared" si="6"/>
        <v>11.94</v>
      </c>
      <c r="N138" t="str">
        <f t="shared" si="7"/>
        <v>Arabica</v>
      </c>
      <c r="O138" t="str">
        <f t="shared" si="8"/>
        <v>Dark</v>
      </c>
      <c r="P138" t="str">
        <f>_xlfn.XLOOKUP(Table1[[#This Row],[Customer ID]],customers!$A$1:$A$1001,customers!$I$1:$I$1001,,0)</f>
        <v>No</v>
      </c>
    </row>
    <row r="139" spans="1:16" x14ac:dyDescent="0.25">
      <c r="A139" s="2" t="s">
        <v>1261</v>
      </c>
      <c r="B139" s="8">
        <v>44637</v>
      </c>
      <c r="C139" s="2" t="s">
        <v>1262</v>
      </c>
      <c r="D139" t="s">
        <v>6148</v>
      </c>
      <c r="E139" s="2">
        <v>3</v>
      </c>
      <c r="F139" s="2" t="str">
        <f>_xlfn.XLOOKUP(orders!C139,customers!$A$1:$A$1001,customers!$B$1:$B$1001,,0)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9">
        <f>INDEX(products!$A$1:$G$49,MATCH(orders!$D139,products!$A$1:$A$49,0),MATCH(orders!K$1,products!$A$1:$G$1,0))</f>
        <v>2.5</v>
      </c>
      <c r="L139" s="10">
        <f>INDEX(products!$A$1:$G$49,MATCH(orders!$D139,products!$A$1:$A$49,0),MATCH(orders!L$1,products!$A$1:$G$1,0))</f>
        <v>34.154999999999994</v>
      </c>
      <c r="M139" s="10">
        <f t="shared" si="6"/>
        <v>102.46499999999997</v>
      </c>
      <c r="N139" t="str">
        <f t="shared" si="7"/>
        <v>Excelsa</v>
      </c>
      <c r="O139" t="str">
        <f t="shared" si="8"/>
        <v>Light</v>
      </c>
      <c r="P139" t="str">
        <f>_xlfn.XLOOKUP(Table1[[#This Row],[Customer ID]],customers!$A$1:$A$1001,customers!$I$1:$I$1001,,0)</f>
        <v>No</v>
      </c>
    </row>
    <row r="140" spans="1:16" x14ac:dyDescent="0.25">
      <c r="A140" s="2" t="s">
        <v>1266</v>
      </c>
      <c r="B140" s="8">
        <v>44238</v>
      </c>
      <c r="C140" s="2" t="s">
        <v>1267</v>
      </c>
      <c r="D140" t="s">
        <v>6183</v>
      </c>
      <c r="E140" s="2">
        <v>4</v>
      </c>
      <c r="F140" s="2" t="str">
        <f>_xlfn.XLOOKUP(orders!C140,customers!$A$1:$A$1001,customers!$B$1:$B$1001,,0)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9">
        <f>INDEX(products!$A$1:$G$49,MATCH(orders!$D140,products!$A$1:$A$49,0),MATCH(orders!K$1,products!$A$1:$G$1,0))</f>
        <v>1</v>
      </c>
      <c r="L140" s="10">
        <f>INDEX(products!$A$1:$G$49,MATCH(orders!$D140,products!$A$1:$A$49,0),MATCH(orders!L$1,products!$A$1:$G$1,0))</f>
        <v>12.15</v>
      </c>
      <c r="M140" s="10">
        <f t="shared" si="6"/>
        <v>48.6</v>
      </c>
      <c r="N140" t="str">
        <f t="shared" si="7"/>
        <v>Excelsa</v>
      </c>
      <c r="O140" t="str">
        <f t="shared" si="8"/>
        <v>Dark</v>
      </c>
      <c r="P140" t="str">
        <f>_xlfn.XLOOKUP(Table1[[#This Row],[Customer ID]],customers!$A$1:$A$1001,customers!$I$1:$I$1001,,0)</f>
        <v>No</v>
      </c>
    </row>
    <row r="141" spans="1:16" x14ac:dyDescent="0.25">
      <c r="A141" s="2" t="s">
        <v>1271</v>
      </c>
      <c r="B141" s="8">
        <v>43509</v>
      </c>
      <c r="C141" s="2" t="s">
        <v>1272</v>
      </c>
      <c r="D141" t="s">
        <v>6143</v>
      </c>
      <c r="E141" s="2">
        <v>6</v>
      </c>
      <c r="F141" s="2" t="str">
        <f>_xlfn.XLOOKUP(orders!C141,customers!$A$1:$A$1001,customers!$B$1:$B$1001,,0)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9">
        <f>INDEX(products!$A$1:$G$49,MATCH(orders!$D141,products!$A$1:$A$49,0),MATCH(orders!K$1,products!$A$1:$G$1,0))</f>
        <v>1</v>
      </c>
      <c r="L141" s="10">
        <f>INDEX(products!$A$1:$G$49,MATCH(orders!$D141,products!$A$1:$A$49,0),MATCH(orders!L$1,products!$A$1:$G$1,0))</f>
        <v>12.95</v>
      </c>
      <c r="M141" s="10">
        <f t="shared" si="6"/>
        <v>77.699999999999989</v>
      </c>
      <c r="N141" t="str">
        <f t="shared" si="7"/>
        <v>Liberica</v>
      </c>
      <c r="O141" t="str">
        <f t="shared" si="8"/>
        <v>Dark</v>
      </c>
      <c r="P141" t="str">
        <f>_xlfn.XLOOKUP(Table1[[#This Row],[Customer ID]],customers!$A$1:$A$1001,customers!$I$1:$I$1001,,0)</f>
        <v>Yes</v>
      </c>
    </row>
    <row r="142" spans="1:16" x14ac:dyDescent="0.25">
      <c r="A142" s="2" t="s">
        <v>1276</v>
      </c>
      <c r="B142" s="8">
        <v>44694</v>
      </c>
      <c r="C142" s="2" t="s">
        <v>1277</v>
      </c>
      <c r="D142" t="s">
        <v>6165</v>
      </c>
      <c r="E142" s="2">
        <v>1</v>
      </c>
      <c r="F142" s="2" t="str">
        <f>_xlfn.XLOOKUP(orders!C142,customers!$A$1:$A$1001,customers!$B$1:$B$1001,,0)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9">
        <f>INDEX(products!$A$1:$G$49,MATCH(orders!$D142,products!$A$1:$A$49,0),MATCH(orders!K$1,products!$A$1:$G$1,0))</f>
        <v>2.5</v>
      </c>
      <c r="L142" s="10">
        <f>INDEX(products!$A$1:$G$49,MATCH(orders!$D142,products!$A$1:$A$49,0),MATCH(orders!L$1,products!$A$1:$G$1,0))</f>
        <v>29.784999999999997</v>
      </c>
      <c r="M142" s="10">
        <f t="shared" si="6"/>
        <v>29.784999999999997</v>
      </c>
      <c r="N142" t="str">
        <f t="shared" si="7"/>
        <v>Liberica</v>
      </c>
      <c r="O142" t="str">
        <f t="shared" si="8"/>
        <v>Dark</v>
      </c>
      <c r="P142" t="str">
        <f>_xlfn.XLOOKUP(Table1[[#This Row],[Customer ID]],customers!$A$1:$A$1001,customers!$I$1:$I$1001,,0)</f>
        <v>Yes</v>
      </c>
    </row>
    <row r="143" spans="1:16" x14ac:dyDescent="0.25">
      <c r="A143" s="2" t="s">
        <v>1283</v>
      </c>
      <c r="B143" s="8">
        <v>43970</v>
      </c>
      <c r="C143" s="2" t="s">
        <v>1284</v>
      </c>
      <c r="D143" t="s">
        <v>6167</v>
      </c>
      <c r="E143" s="2">
        <v>4</v>
      </c>
      <c r="F143" s="2" t="str">
        <f>_xlfn.XLOOKUP(orders!C143,customers!$A$1:$A$1001,customers!$B$1:$B$1001,,0)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9">
        <f>INDEX(products!$A$1:$G$49,MATCH(orders!$D143,products!$A$1:$A$49,0),MATCH(orders!K$1,products!$A$1:$G$1,0))</f>
        <v>0.2</v>
      </c>
      <c r="L143" s="10">
        <f>INDEX(products!$A$1:$G$49,MATCH(orders!$D143,products!$A$1:$A$49,0),MATCH(orders!L$1,products!$A$1:$G$1,0))</f>
        <v>3.8849999999999998</v>
      </c>
      <c r="M143" s="10">
        <f t="shared" si="6"/>
        <v>15.54</v>
      </c>
      <c r="N143" t="str">
        <f t="shared" si="7"/>
        <v>Arabica</v>
      </c>
      <c r="O143" t="str">
        <f t="shared" si="8"/>
        <v>Light</v>
      </c>
      <c r="P143" t="str">
        <f>_xlfn.XLOOKUP(Table1[[#This Row],[Customer ID]],customers!$A$1:$A$1001,customers!$I$1:$I$1001,,0)</f>
        <v>Yes</v>
      </c>
    </row>
    <row r="144" spans="1:16" x14ac:dyDescent="0.25">
      <c r="A144" s="2" t="s">
        <v>1289</v>
      </c>
      <c r="B144" s="8">
        <v>44678</v>
      </c>
      <c r="C144" s="2" t="s">
        <v>1290</v>
      </c>
      <c r="D144" t="s">
        <v>6148</v>
      </c>
      <c r="E144" s="2">
        <v>4</v>
      </c>
      <c r="F144" s="2" t="str">
        <f>_xlfn.XLOOKUP(orders!C144,customers!$A$1:$A$1001,customers!$B$1:$B$1001,,0)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9">
        <f>INDEX(products!$A$1:$G$49,MATCH(orders!$D144,products!$A$1:$A$49,0),MATCH(orders!K$1,products!$A$1:$G$1,0))</f>
        <v>2.5</v>
      </c>
      <c r="L144" s="10">
        <f>INDEX(products!$A$1:$G$49,MATCH(orders!$D144,products!$A$1:$A$49,0),MATCH(orders!L$1,products!$A$1:$G$1,0))</f>
        <v>34.154999999999994</v>
      </c>
      <c r="M144" s="10">
        <f t="shared" si="6"/>
        <v>136.61999999999998</v>
      </c>
      <c r="N144" t="str">
        <f t="shared" si="7"/>
        <v>Excelsa</v>
      </c>
      <c r="O144" t="str">
        <f t="shared" si="8"/>
        <v>Light</v>
      </c>
      <c r="P144" t="str">
        <f>_xlfn.XLOOKUP(Table1[[#This Row],[Customer ID]],customers!$A$1:$A$1001,customers!$I$1:$I$1001,,0)</f>
        <v>Yes</v>
      </c>
    </row>
    <row r="145" spans="1:16" x14ac:dyDescent="0.25">
      <c r="A145" s="2" t="s">
        <v>1293</v>
      </c>
      <c r="B145" s="8">
        <v>44083</v>
      </c>
      <c r="C145" s="2" t="s">
        <v>1294</v>
      </c>
      <c r="D145" t="s">
        <v>6160</v>
      </c>
      <c r="E145" s="2">
        <v>2</v>
      </c>
      <c r="F145" s="2" t="str">
        <f>_xlfn.XLOOKUP(orders!C145,customers!$A$1:$A$1001,customers!$B$1:$B$1001,,0)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9">
        <f>INDEX(products!$A$1:$G$49,MATCH(orders!$D145,products!$A$1:$A$49,0),MATCH(orders!K$1,products!$A$1:$G$1,0))</f>
        <v>0.5</v>
      </c>
      <c r="L145" s="10">
        <f>INDEX(products!$A$1:$G$49,MATCH(orders!$D145,products!$A$1:$A$49,0),MATCH(orders!L$1,products!$A$1:$G$1,0))</f>
        <v>8.73</v>
      </c>
      <c r="M145" s="10">
        <f t="shared" si="6"/>
        <v>17.46</v>
      </c>
      <c r="N145" t="str">
        <f t="shared" si="7"/>
        <v>Liberica</v>
      </c>
      <c r="O145" t="str">
        <f t="shared" si="8"/>
        <v>Medium</v>
      </c>
      <c r="P145" t="str">
        <f>_xlfn.XLOOKUP(Table1[[#This Row],[Customer ID]],customers!$A$1:$A$1001,customers!$I$1:$I$1001,,0)</f>
        <v>No</v>
      </c>
    </row>
    <row r="146" spans="1:16" x14ac:dyDescent="0.25">
      <c r="A146" s="2" t="s">
        <v>1299</v>
      </c>
      <c r="B146" s="8">
        <v>44265</v>
      </c>
      <c r="C146" s="2" t="s">
        <v>1300</v>
      </c>
      <c r="D146" t="s">
        <v>6148</v>
      </c>
      <c r="E146" s="2">
        <v>2</v>
      </c>
      <c r="F146" s="2" t="str">
        <f>_xlfn.XLOOKUP(orders!C146,customers!$A$1:$A$1001,customers!$B$1:$B$1001,,0)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9">
        <f>INDEX(products!$A$1:$G$49,MATCH(orders!$D146,products!$A$1:$A$49,0),MATCH(orders!K$1,products!$A$1:$G$1,0))</f>
        <v>2.5</v>
      </c>
      <c r="L146" s="10">
        <f>INDEX(products!$A$1:$G$49,MATCH(orders!$D146,products!$A$1:$A$49,0),MATCH(orders!L$1,products!$A$1:$G$1,0))</f>
        <v>34.154999999999994</v>
      </c>
      <c r="M146" s="10">
        <f t="shared" si="6"/>
        <v>68.309999999999988</v>
      </c>
      <c r="N146" t="str">
        <f t="shared" si="7"/>
        <v>Excelsa</v>
      </c>
      <c r="O146" t="str">
        <f t="shared" si="8"/>
        <v>Light</v>
      </c>
      <c r="P146" t="str">
        <f>_xlfn.XLOOKUP(Table1[[#This Row],[Customer ID]],customers!$A$1:$A$1001,customers!$I$1:$I$1001,,0)</f>
        <v>Yes</v>
      </c>
    </row>
    <row r="147" spans="1:16" x14ac:dyDescent="0.25">
      <c r="A147" s="2" t="s">
        <v>1305</v>
      </c>
      <c r="B147" s="8">
        <v>43562</v>
      </c>
      <c r="C147" s="2" t="s">
        <v>1306</v>
      </c>
      <c r="D147" t="s">
        <v>6159</v>
      </c>
      <c r="E147" s="2">
        <v>4</v>
      </c>
      <c r="F147" s="2" t="str">
        <f>_xlfn.XLOOKUP(orders!C147,customers!$A$1:$A$1001,customers!$B$1:$B$1001,,0)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9">
        <f>INDEX(products!$A$1:$G$49,MATCH(orders!$D147,products!$A$1:$A$49,0),MATCH(orders!K$1,products!$A$1:$G$1,0))</f>
        <v>0.2</v>
      </c>
      <c r="L147" s="10">
        <f>INDEX(products!$A$1:$G$49,MATCH(orders!$D147,products!$A$1:$A$49,0),MATCH(orders!L$1,products!$A$1:$G$1,0))</f>
        <v>4.3650000000000002</v>
      </c>
      <c r="M147" s="10">
        <f t="shared" si="6"/>
        <v>17.46</v>
      </c>
      <c r="N147" t="str">
        <f t="shared" si="7"/>
        <v>Liberica</v>
      </c>
      <c r="O147" t="str">
        <f t="shared" si="8"/>
        <v>Medium</v>
      </c>
      <c r="P147" t="str">
        <f>_xlfn.XLOOKUP(Table1[[#This Row],[Customer ID]],customers!$A$1:$A$1001,customers!$I$1:$I$1001,,0)</f>
        <v>No</v>
      </c>
    </row>
    <row r="148" spans="1:16" x14ac:dyDescent="0.25">
      <c r="A148" s="2" t="s">
        <v>1311</v>
      </c>
      <c r="B148" s="8">
        <v>44024</v>
      </c>
      <c r="C148" s="2" t="s">
        <v>1312</v>
      </c>
      <c r="D148" t="s">
        <v>6162</v>
      </c>
      <c r="E148" s="2">
        <v>3</v>
      </c>
      <c r="F148" s="2" t="str">
        <f>_xlfn.XLOOKUP(orders!C148,customers!$A$1:$A$1001,customers!$B$1:$B$1001,,0)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9">
        <f>INDEX(products!$A$1:$G$49,MATCH(orders!$D148,products!$A$1:$A$49,0),MATCH(orders!K$1,products!$A$1:$G$1,0))</f>
        <v>1</v>
      </c>
      <c r="L148" s="10">
        <f>INDEX(products!$A$1:$G$49,MATCH(orders!$D148,products!$A$1:$A$49,0),MATCH(orders!L$1,products!$A$1:$G$1,0))</f>
        <v>14.55</v>
      </c>
      <c r="M148" s="10">
        <f t="shared" si="6"/>
        <v>43.650000000000006</v>
      </c>
      <c r="N148" t="str">
        <f t="shared" si="7"/>
        <v>Liberica</v>
      </c>
      <c r="O148" t="str">
        <f t="shared" si="8"/>
        <v>Medium</v>
      </c>
      <c r="P148" t="str">
        <f>_xlfn.XLOOKUP(Table1[[#This Row],[Customer ID]],customers!$A$1:$A$1001,customers!$I$1:$I$1001,,0)</f>
        <v>No</v>
      </c>
    </row>
    <row r="149" spans="1:16" x14ac:dyDescent="0.25">
      <c r="A149" s="2" t="s">
        <v>1311</v>
      </c>
      <c r="B149" s="8">
        <v>44024</v>
      </c>
      <c r="C149" s="2" t="s">
        <v>1312</v>
      </c>
      <c r="D149" t="s">
        <v>6141</v>
      </c>
      <c r="E149" s="2">
        <v>2</v>
      </c>
      <c r="F149" s="2" t="str">
        <f>_xlfn.XLOOKUP(orders!C149,customers!$A$1:$A$1001,customers!$B$1:$B$1001,,0)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9">
        <f>INDEX(products!$A$1:$G$49,MATCH(orders!$D149,products!$A$1:$A$49,0),MATCH(orders!K$1,products!$A$1:$G$1,0))</f>
        <v>1</v>
      </c>
      <c r="L149" s="10">
        <f>INDEX(products!$A$1:$G$49,MATCH(orders!$D149,products!$A$1:$A$49,0),MATCH(orders!L$1,products!$A$1:$G$1,0))</f>
        <v>13.75</v>
      </c>
      <c r="M149" s="10">
        <f t="shared" si="6"/>
        <v>27.5</v>
      </c>
      <c r="N149" t="str">
        <f t="shared" si="7"/>
        <v>Excelsa</v>
      </c>
      <c r="O149" t="str">
        <f t="shared" si="8"/>
        <v>Medium</v>
      </c>
      <c r="P149" t="str">
        <f>_xlfn.XLOOKUP(Table1[[#This Row],[Customer ID]],customers!$A$1:$A$1001,customers!$I$1:$I$1001,,0)</f>
        <v>No</v>
      </c>
    </row>
    <row r="150" spans="1:16" x14ac:dyDescent="0.25">
      <c r="A150" s="2" t="s">
        <v>1322</v>
      </c>
      <c r="B150" s="8">
        <v>44551</v>
      </c>
      <c r="C150" s="2" t="s">
        <v>1323</v>
      </c>
      <c r="D150" t="s">
        <v>6153</v>
      </c>
      <c r="E150" s="2">
        <v>5</v>
      </c>
      <c r="F150" s="2" t="str">
        <f>_xlfn.XLOOKUP(orders!C150,customers!$A$1:$A$1001,customers!$B$1:$B$1001,,0)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9">
        <f>INDEX(products!$A$1:$G$49,MATCH(orders!$D150,products!$A$1:$A$49,0),MATCH(orders!K$1,products!$A$1:$G$1,0))</f>
        <v>0.2</v>
      </c>
      <c r="L150" s="10">
        <f>INDEX(products!$A$1:$G$49,MATCH(orders!$D150,products!$A$1:$A$49,0),MATCH(orders!L$1,products!$A$1:$G$1,0))</f>
        <v>3.645</v>
      </c>
      <c r="M150" s="10">
        <f t="shared" si="6"/>
        <v>18.225000000000001</v>
      </c>
      <c r="N150" t="str">
        <f t="shared" si="7"/>
        <v>Excelsa</v>
      </c>
      <c r="O150" t="str">
        <f t="shared" si="8"/>
        <v>Dark</v>
      </c>
      <c r="P150" t="str">
        <f>_xlfn.XLOOKUP(Table1[[#This Row],[Customer ID]],customers!$A$1:$A$1001,customers!$I$1:$I$1001,,0)</f>
        <v>Yes</v>
      </c>
    </row>
    <row r="151" spans="1:16" x14ac:dyDescent="0.25">
      <c r="A151" s="2" t="s">
        <v>1328</v>
      </c>
      <c r="B151" s="8">
        <v>44108</v>
      </c>
      <c r="C151" s="2" t="s">
        <v>1329</v>
      </c>
      <c r="D151" t="s">
        <v>6175</v>
      </c>
      <c r="E151" s="2">
        <v>2</v>
      </c>
      <c r="F151" s="2" t="str">
        <f>_xlfn.XLOOKUP(orders!C151,customers!$A$1:$A$1001,customers!$B$1:$B$1001,,0)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9">
        <f>INDEX(products!$A$1:$G$49,MATCH(orders!$D151,products!$A$1:$A$49,0),MATCH(orders!K$1,products!$A$1:$G$1,0))</f>
        <v>2.5</v>
      </c>
      <c r="L151" s="10">
        <f>INDEX(products!$A$1:$G$49,MATCH(orders!$D151,products!$A$1:$A$49,0),MATCH(orders!L$1,products!$A$1:$G$1,0))</f>
        <v>25.874999999999996</v>
      </c>
      <c r="M151" s="10">
        <f t="shared" si="6"/>
        <v>51.749999999999993</v>
      </c>
      <c r="N151" t="str">
        <f t="shared" si="7"/>
        <v>Arabica</v>
      </c>
      <c r="O151" t="str">
        <f t="shared" si="8"/>
        <v>Medium</v>
      </c>
      <c r="P151" t="str">
        <f>_xlfn.XLOOKUP(Table1[[#This Row],[Customer ID]],customers!$A$1:$A$1001,customers!$I$1:$I$1001,,0)</f>
        <v>Yes</v>
      </c>
    </row>
    <row r="152" spans="1:16" x14ac:dyDescent="0.25">
      <c r="A152" s="2" t="s">
        <v>1333</v>
      </c>
      <c r="B152" s="8">
        <v>44051</v>
      </c>
      <c r="C152" s="2" t="s">
        <v>1334</v>
      </c>
      <c r="D152" t="s">
        <v>6143</v>
      </c>
      <c r="E152" s="2">
        <v>1</v>
      </c>
      <c r="F152" s="2" t="str">
        <f>_xlfn.XLOOKUP(orders!C152,customers!$A$1:$A$1001,customers!$B$1:$B$1001,,0)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9">
        <f>INDEX(products!$A$1:$G$49,MATCH(orders!$D152,products!$A$1:$A$49,0),MATCH(orders!K$1,products!$A$1:$G$1,0))</f>
        <v>1</v>
      </c>
      <c r="L152" s="10">
        <f>INDEX(products!$A$1:$G$49,MATCH(orders!$D152,products!$A$1:$A$49,0),MATCH(orders!L$1,products!$A$1:$G$1,0))</f>
        <v>12.95</v>
      </c>
      <c r="M152" s="10">
        <f t="shared" si="6"/>
        <v>12.95</v>
      </c>
      <c r="N152" t="str">
        <f t="shared" si="7"/>
        <v>Liberica</v>
      </c>
      <c r="O152" t="str">
        <f t="shared" si="8"/>
        <v>Dark</v>
      </c>
      <c r="P152" t="str">
        <f>_xlfn.XLOOKUP(Table1[[#This Row],[Customer ID]],customers!$A$1:$A$1001,customers!$I$1:$I$1001,,0)</f>
        <v>Yes</v>
      </c>
    </row>
    <row r="153" spans="1:16" x14ac:dyDescent="0.25">
      <c r="A153" s="2" t="s">
        <v>1339</v>
      </c>
      <c r="B153" s="8">
        <v>44115</v>
      </c>
      <c r="C153" s="2" t="s">
        <v>1340</v>
      </c>
      <c r="D153" t="s">
        <v>6155</v>
      </c>
      <c r="E153" s="2">
        <v>3</v>
      </c>
      <c r="F153" s="2" t="str">
        <f>_xlfn.XLOOKUP(orders!C153,customers!$A$1:$A$1001,customers!$B$1:$B$1001,,0)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9">
        <f>INDEX(products!$A$1:$G$49,MATCH(orders!$D153,products!$A$1:$A$49,0),MATCH(orders!K$1,products!$A$1:$G$1,0))</f>
        <v>1</v>
      </c>
      <c r="L153" s="10">
        <f>INDEX(products!$A$1:$G$49,MATCH(orders!$D153,products!$A$1:$A$49,0),MATCH(orders!L$1,products!$A$1:$G$1,0))</f>
        <v>11.25</v>
      </c>
      <c r="M153" s="10">
        <f t="shared" si="6"/>
        <v>33.75</v>
      </c>
      <c r="N153" t="str">
        <f t="shared" si="7"/>
        <v>Arabica</v>
      </c>
      <c r="O153" t="str">
        <f t="shared" si="8"/>
        <v>Medium</v>
      </c>
      <c r="P153" t="str">
        <f>_xlfn.XLOOKUP(Table1[[#This Row],[Customer ID]],customers!$A$1:$A$1001,customers!$I$1:$I$1001,,0)</f>
        <v>Yes</v>
      </c>
    </row>
    <row r="154" spans="1:16" x14ac:dyDescent="0.25">
      <c r="A154" s="2" t="s">
        <v>1344</v>
      </c>
      <c r="B154" s="8">
        <v>44510</v>
      </c>
      <c r="C154" s="2" t="s">
        <v>1345</v>
      </c>
      <c r="D154" t="s">
        <v>6151</v>
      </c>
      <c r="E154" s="2">
        <v>3</v>
      </c>
      <c r="F154" s="2" t="str">
        <f>_xlfn.XLOOKUP(orders!C154,customers!$A$1:$A$1001,customers!$B$1:$B$1001,,0)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9">
        <f>INDEX(products!$A$1:$G$49,MATCH(orders!$D154,products!$A$1:$A$49,0),MATCH(orders!K$1,products!$A$1:$G$1,0))</f>
        <v>2.5</v>
      </c>
      <c r="L154" s="10">
        <f>INDEX(products!$A$1:$G$49,MATCH(orders!$D154,products!$A$1:$A$49,0),MATCH(orders!L$1,products!$A$1:$G$1,0))</f>
        <v>22.884999999999998</v>
      </c>
      <c r="M154" s="10">
        <f t="shared" si="6"/>
        <v>68.655000000000001</v>
      </c>
      <c r="N154" t="str">
        <f t="shared" si="7"/>
        <v>Robusta</v>
      </c>
      <c r="O154" t="str">
        <f t="shared" si="8"/>
        <v>Medium</v>
      </c>
      <c r="P154" t="str">
        <f>_xlfn.XLOOKUP(Table1[[#This Row],[Customer ID]],customers!$A$1:$A$1001,customers!$I$1:$I$1001,,0)</f>
        <v>Yes</v>
      </c>
    </row>
    <row r="155" spans="1:16" x14ac:dyDescent="0.25">
      <c r="A155" s="2" t="s">
        <v>1350</v>
      </c>
      <c r="B155" s="8">
        <v>44367</v>
      </c>
      <c r="C155" s="2" t="s">
        <v>1351</v>
      </c>
      <c r="D155" t="s">
        <v>6163</v>
      </c>
      <c r="E155" s="2">
        <v>1</v>
      </c>
      <c r="F155" s="2" t="str">
        <f>_xlfn.XLOOKUP(orders!C155,customers!$A$1:$A$1001,customers!$B$1:$B$1001,,0)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9">
        <f>INDEX(products!$A$1:$G$49,MATCH(orders!$D155,products!$A$1:$A$49,0),MATCH(orders!K$1,products!$A$1:$G$1,0))</f>
        <v>0.2</v>
      </c>
      <c r="L155" s="10">
        <f>INDEX(products!$A$1:$G$49,MATCH(orders!$D155,products!$A$1:$A$49,0),MATCH(orders!L$1,products!$A$1:$G$1,0))</f>
        <v>2.6849999999999996</v>
      </c>
      <c r="M155" s="10">
        <f t="shared" si="6"/>
        <v>2.6849999999999996</v>
      </c>
      <c r="N155" t="str">
        <f t="shared" si="7"/>
        <v>Robusta</v>
      </c>
      <c r="O155" t="str">
        <f t="shared" si="8"/>
        <v>Dark</v>
      </c>
      <c r="P155" t="str">
        <f>_xlfn.XLOOKUP(Table1[[#This Row],[Customer ID]],customers!$A$1:$A$1001,customers!$I$1:$I$1001,,0)</f>
        <v>No</v>
      </c>
    </row>
    <row r="156" spans="1:16" x14ac:dyDescent="0.25">
      <c r="A156" s="2" t="s">
        <v>1355</v>
      </c>
      <c r="B156" s="8">
        <v>44473</v>
      </c>
      <c r="C156" s="2" t="s">
        <v>1356</v>
      </c>
      <c r="D156" t="s">
        <v>6168</v>
      </c>
      <c r="E156" s="2">
        <v>5</v>
      </c>
      <c r="F156" s="2" t="str">
        <f>_xlfn.XLOOKUP(orders!C156,customers!$A$1:$A$1001,customers!$B$1:$B$1001,,0)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9">
        <f>INDEX(products!$A$1:$G$49,MATCH(orders!$D156,products!$A$1:$A$49,0),MATCH(orders!K$1,products!$A$1:$G$1,0))</f>
        <v>2.5</v>
      </c>
      <c r="L156" s="10">
        <f>INDEX(products!$A$1:$G$49,MATCH(orders!$D156,products!$A$1:$A$49,0),MATCH(orders!L$1,products!$A$1:$G$1,0))</f>
        <v>22.884999999999998</v>
      </c>
      <c r="M156" s="10">
        <f t="shared" si="6"/>
        <v>114.42499999999998</v>
      </c>
      <c r="N156" t="str">
        <f t="shared" si="7"/>
        <v>Arabica</v>
      </c>
      <c r="O156" t="str">
        <f t="shared" si="8"/>
        <v>Dark</v>
      </c>
      <c r="P156" t="str">
        <f>_xlfn.XLOOKUP(Table1[[#This Row],[Customer ID]],customers!$A$1:$A$1001,customers!$I$1:$I$1001,,0)</f>
        <v>No</v>
      </c>
    </row>
    <row r="157" spans="1:16" x14ac:dyDescent="0.25">
      <c r="A157" s="2" t="s">
        <v>1361</v>
      </c>
      <c r="B157" s="8">
        <v>43640</v>
      </c>
      <c r="C157" s="2" t="s">
        <v>1362</v>
      </c>
      <c r="D157" t="s">
        <v>6175</v>
      </c>
      <c r="E157" s="2">
        <v>6</v>
      </c>
      <c r="F157" s="2" t="str">
        <f>_xlfn.XLOOKUP(orders!C157,customers!$A$1:$A$1001,customers!$B$1:$B$1001,,0)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9">
        <f>INDEX(products!$A$1:$G$49,MATCH(orders!$D157,products!$A$1:$A$49,0),MATCH(orders!K$1,products!$A$1:$G$1,0))</f>
        <v>2.5</v>
      </c>
      <c r="L157" s="10">
        <f>INDEX(products!$A$1:$G$49,MATCH(orders!$D157,products!$A$1:$A$49,0),MATCH(orders!L$1,products!$A$1:$G$1,0))</f>
        <v>25.874999999999996</v>
      </c>
      <c r="M157" s="10">
        <f t="shared" si="6"/>
        <v>155.24999999999997</v>
      </c>
      <c r="N157" t="str">
        <f t="shared" si="7"/>
        <v>Arabica</v>
      </c>
      <c r="O157" t="str">
        <f t="shared" si="8"/>
        <v>Medium</v>
      </c>
      <c r="P157" t="str">
        <f>_xlfn.XLOOKUP(Table1[[#This Row],[Customer ID]],customers!$A$1:$A$1001,customers!$I$1:$I$1001,,0)</f>
        <v>Yes</v>
      </c>
    </row>
    <row r="158" spans="1:16" x14ac:dyDescent="0.25">
      <c r="A158" s="2" t="s">
        <v>1367</v>
      </c>
      <c r="B158" s="8">
        <v>43764</v>
      </c>
      <c r="C158" s="2" t="s">
        <v>1368</v>
      </c>
      <c r="D158" t="s">
        <v>6175</v>
      </c>
      <c r="E158" s="2">
        <v>3</v>
      </c>
      <c r="F158" s="2" t="str">
        <f>_xlfn.XLOOKUP(orders!C158,customers!$A$1:$A$1001,customers!$B$1:$B$1001,,0)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9">
        <f>INDEX(products!$A$1:$G$49,MATCH(orders!$D158,products!$A$1:$A$49,0),MATCH(orders!K$1,products!$A$1:$G$1,0))</f>
        <v>2.5</v>
      </c>
      <c r="L158" s="10">
        <f>INDEX(products!$A$1:$G$49,MATCH(orders!$D158,products!$A$1:$A$49,0),MATCH(orders!L$1,products!$A$1:$G$1,0))</f>
        <v>25.874999999999996</v>
      </c>
      <c r="M158" s="10">
        <f t="shared" si="6"/>
        <v>77.624999999999986</v>
      </c>
      <c r="N158" t="str">
        <f t="shared" si="7"/>
        <v>Arabica</v>
      </c>
      <c r="O158" t="str">
        <f t="shared" si="8"/>
        <v>Medium</v>
      </c>
      <c r="P158" t="str">
        <f>_xlfn.XLOOKUP(Table1[[#This Row],[Customer ID]],customers!$A$1:$A$1001,customers!$I$1:$I$1001,,0)</f>
        <v>Yes</v>
      </c>
    </row>
    <row r="159" spans="1:16" x14ac:dyDescent="0.25">
      <c r="A159" s="2" t="s">
        <v>1373</v>
      </c>
      <c r="B159" s="8">
        <v>44374</v>
      </c>
      <c r="C159" s="2" t="s">
        <v>1374</v>
      </c>
      <c r="D159" t="s">
        <v>6149</v>
      </c>
      <c r="E159" s="2">
        <v>3</v>
      </c>
      <c r="F159" s="2" t="str">
        <f>_xlfn.XLOOKUP(orders!C159,customers!$A$1:$A$1001,customers!$B$1:$B$1001,,0)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9">
        <f>INDEX(products!$A$1:$G$49,MATCH(orders!$D159,products!$A$1:$A$49,0),MATCH(orders!K$1,products!$A$1:$G$1,0))</f>
        <v>2.5</v>
      </c>
      <c r="L159" s="10">
        <f>INDEX(products!$A$1:$G$49,MATCH(orders!$D159,products!$A$1:$A$49,0),MATCH(orders!L$1,products!$A$1:$G$1,0))</f>
        <v>20.584999999999997</v>
      </c>
      <c r="M159" s="10">
        <f t="shared" si="6"/>
        <v>61.754999999999995</v>
      </c>
      <c r="N159" t="str">
        <f t="shared" si="7"/>
        <v>Robusta</v>
      </c>
      <c r="O159" t="str">
        <f t="shared" si="8"/>
        <v>Dark</v>
      </c>
      <c r="P159" t="str">
        <f>_xlfn.XLOOKUP(Table1[[#This Row],[Customer ID]],customers!$A$1:$A$1001,customers!$I$1:$I$1001,,0)</f>
        <v>No</v>
      </c>
    </row>
    <row r="160" spans="1:16" x14ac:dyDescent="0.25">
      <c r="A160" s="2" t="s">
        <v>1379</v>
      </c>
      <c r="B160" s="8">
        <v>43714</v>
      </c>
      <c r="C160" s="2" t="s">
        <v>1380</v>
      </c>
      <c r="D160" t="s">
        <v>6149</v>
      </c>
      <c r="E160" s="2">
        <v>6</v>
      </c>
      <c r="F160" s="2" t="str">
        <f>_xlfn.XLOOKUP(orders!C160,customers!$A$1:$A$1001,customers!$B$1:$B$1001,,0)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9">
        <f>INDEX(products!$A$1:$G$49,MATCH(orders!$D160,products!$A$1:$A$49,0),MATCH(orders!K$1,products!$A$1:$G$1,0))</f>
        <v>2.5</v>
      </c>
      <c r="L160" s="10">
        <f>INDEX(products!$A$1:$G$49,MATCH(orders!$D160,products!$A$1:$A$49,0),MATCH(orders!L$1,products!$A$1:$G$1,0))</f>
        <v>20.584999999999997</v>
      </c>
      <c r="M160" s="10">
        <f t="shared" si="6"/>
        <v>123.50999999999999</v>
      </c>
      <c r="N160" t="str">
        <f t="shared" si="7"/>
        <v>Robusta</v>
      </c>
      <c r="O160" t="str">
        <f t="shared" si="8"/>
        <v>Dark</v>
      </c>
      <c r="P160" t="str">
        <f>_xlfn.XLOOKUP(Table1[[#This Row],[Customer ID]],customers!$A$1:$A$1001,customers!$I$1:$I$1001,,0)</f>
        <v>Yes</v>
      </c>
    </row>
    <row r="161" spans="1:16" x14ac:dyDescent="0.25">
      <c r="A161" s="2" t="s">
        <v>1384</v>
      </c>
      <c r="B161" s="8">
        <v>44316</v>
      </c>
      <c r="C161" s="2" t="s">
        <v>1385</v>
      </c>
      <c r="D161" t="s">
        <v>6164</v>
      </c>
      <c r="E161" s="2">
        <v>6</v>
      </c>
      <c r="F161" s="2" t="str">
        <f>_xlfn.XLOOKUP(orders!C161,customers!$A$1:$A$1001,customers!$B$1:$B$1001,,0)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9">
        <f>INDEX(products!$A$1:$G$49,MATCH(orders!$D161,products!$A$1:$A$49,0),MATCH(orders!K$1,products!$A$1:$G$1,0))</f>
        <v>2.5</v>
      </c>
      <c r="L161" s="10">
        <f>INDEX(products!$A$1:$G$49,MATCH(orders!$D161,products!$A$1:$A$49,0),MATCH(orders!L$1,products!$A$1:$G$1,0))</f>
        <v>36.454999999999998</v>
      </c>
      <c r="M161" s="10">
        <f t="shared" si="6"/>
        <v>218.73</v>
      </c>
      <c r="N161" t="str">
        <f t="shared" si="7"/>
        <v>Liberica</v>
      </c>
      <c r="O161" t="str">
        <f t="shared" si="8"/>
        <v>Light</v>
      </c>
      <c r="P161" t="str">
        <f>_xlfn.XLOOKUP(Table1[[#This Row],[Customer ID]],customers!$A$1:$A$1001,customers!$I$1:$I$1001,,0)</f>
        <v>No</v>
      </c>
    </row>
    <row r="162" spans="1:16" x14ac:dyDescent="0.25">
      <c r="A162" s="2" t="s">
        <v>1389</v>
      </c>
      <c r="B162" s="8">
        <v>43837</v>
      </c>
      <c r="C162" s="2" t="s">
        <v>1390</v>
      </c>
      <c r="D162" t="s">
        <v>6139</v>
      </c>
      <c r="E162" s="2">
        <v>4</v>
      </c>
      <c r="F162" s="2" t="str">
        <f>_xlfn.XLOOKUP(orders!C162,customers!$A$1:$A$1001,customers!$B$1:$B$1001,,0)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9">
        <f>INDEX(products!$A$1:$G$49,MATCH(orders!$D162,products!$A$1:$A$49,0),MATCH(orders!K$1,products!$A$1:$G$1,0))</f>
        <v>0.5</v>
      </c>
      <c r="L162" s="10">
        <f>INDEX(products!$A$1:$G$49,MATCH(orders!$D162,products!$A$1:$A$49,0),MATCH(orders!L$1,products!$A$1:$G$1,0))</f>
        <v>8.25</v>
      </c>
      <c r="M162" s="10">
        <f t="shared" si="6"/>
        <v>33</v>
      </c>
      <c r="N162" t="str">
        <f t="shared" si="7"/>
        <v>Excelsa</v>
      </c>
      <c r="O162" t="str">
        <f t="shared" si="8"/>
        <v>Medium</v>
      </c>
      <c r="P162" t="str">
        <f>_xlfn.XLOOKUP(Table1[[#This Row],[Customer ID]],customers!$A$1:$A$1001,customers!$I$1:$I$1001,,0)</f>
        <v>No</v>
      </c>
    </row>
    <row r="163" spans="1:16" x14ac:dyDescent="0.25">
      <c r="A163" s="2" t="s">
        <v>1395</v>
      </c>
      <c r="B163" s="8">
        <v>44207</v>
      </c>
      <c r="C163" s="2" t="s">
        <v>1396</v>
      </c>
      <c r="D163" t="s">
        <v>6180</v>
      </c>
      <c r="E163" s="2">
        <v>3</v>
      </c>
      <c r="F163" s="2" t="str">
        <f>_xlfn.XLOOKUP(orders!C163,customers!$A$1:$A$1001,customers!$B$1:$B$1001,,0)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9">
        <f>INDEX(products!$A$1:$G$49,MATCH(orders!$D163,products!$A$1:$A$49,0),MATCH(orders!K$1,products!$A$1:$G$1,0))</f>
        <v>0.5</v>
      </c>
      <c r="L163" s="10">
        <f>INDEX(products!$A$1:$G$49,MATCH(orders!$D163,products!$A$1:$A$49,0),MATCH(orders!L$1,products!$A$1:$G$1,0))</f>
        <v>7.77</v>
      </c>
      <c r="M163" s="10">
        <f t="shared" si="6"/>
        <v>23.31</v>
      </c>
      <c r="N163" t="str">
        <f t="shared" si="7"/>
        <v>Arabica</v>
      </c>
      <c r="O163" t="str">
        <f t="shared" si="8"/>
        <v>Light</v>
      </c>
      <c r="P163" t="str">
        <f>_xlfn.XLOOKUP(Table1[[#This Row],[Customer ID]],customers!$A$1:$A$1001,customers!$I$1:$I$1001,,0)</f>
        <v>No</v>
      </c>
    </row>
    <row r="164" spans="1:16" x14ac:dyDescent="0.25">
      <c r="A164" s="2" t="s">
        <v>1401</v>
      </c>
      <c r="B164" s="8">
        <v>44515</v>
      </c>
      <c r="C164" s="2" t="s">
        <v>1402</v>
      </c>
      <c r="D164" t="s">
        <v>6144</v>
      </c>
      <c r="E164" s="2">
        <v>3</v>
      </c>
      <c r="F164" s="2" t="str">
        <f>_xlfn.XLOOKUP(orders!C164,customers!$A$1:$A$1001,customers!$B$1:$B$1001,,0)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9">
        <f>INDEX(products!$A$1:$G$49,MATCH(orders!$D164,products!$A$1:$A$49,0),MATCH(orders!K$1,products!$A$1:$G$1,0))</f>
        <v>0.5</v>
      </c>
      <c r="L164" s="10">
        <f>INDEX(products!$A$1:$G$49,MATCH(orders!$D164,products!$A$1:$A$49,0),MATCH(orders!L$1,products!$A$1:$G$1,0))</f>
        <v>7.29</v>
      </c>
      <c r="M164" s="10">
        <f t="shared" si="6"/>
        <v>21.87</v>
      </c>
      <c r="N164" t="str">
        <f t="shared" si="7"/>
        <v>Excelsa</v>
      </c>
      <c r="O164" t="str">
        <f t="shared" si="8"/>
        <v>Dark</v>
      </c>
      <c r="P164" t="str">
        <f>_xlfn.XLOOKUP(Table1[[#This Row],[Customer ID]],customers!$A$1:$A$1001,customers!$I$1:$I$1001,,0)</f>
        <v>Yes</v>
      </c>
    </row>
    <row r="165" spans="1:16" x14ac:dyDescent="0.25">
      <c r="A165" s="2" t="s">
        <v>1407</v>
      </c>
      <c r="B165" s="8">
        <v>43619</v>
      </c>
      <c r="C165" s="2" t="s">
        <v>1408</v>
      </c>
      <c r="D165" t="s">
        <v>6163</v>
      </c>
      <c r="E165" s="2">
        <v>6</v>
      </c>
      <c r="F165" s="2" t="str">
        <f>_xlfn.XLOOKUP(orders!C165,customers!$A$1:$A$1001,customers!$B$1:$B$1001,,0)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9">
        <f>INDEX(products!$A$1:$G$49,MATCH(orders!$D165,products!$A$1:$A$49,0),MATCH(orders!K$1,products!$A$1:$G$1,0))</f>
        <v>0.2</v>
      </c>
      <c r="L165" s="10">
        <f>INDEX(products!$A$1:$G$49,MATCH(orders!$D165,products!$A$1:$A$49,0),MATCH(orders!L$1,products!$A$1:$G$1,0))</f>
        <v>2.6849999999999996</v>
      </c>
      <c r="M165" s="10">
        <f t="shared" si="6"/>
        <v>16.11</v>
      </c>
      <c r="N165" t="str">
        <f t="shared" si="7"/>
        <v>Robusta</v>
      </c>
      <c r="O165" t="str">
        <f t="shared" si="8"/>
        <v>Dark</v>
      </c>
      <c r="P165" t="str">
        <f>_xlfn.XLOOKUP(Table1[[#This Row],[Customer ID]],customers!$A$1:$A$1001,customers!$I$1:$I$1001,,0)</f>
        <v>No</v>
      </c>
    </row>
    <row r="166" spans="1:16" x14ac:dyDescent="0.25">
      <c r="A166" s="2" t="s">
        <v>1413</v>
      </c>
      <c r="B166" s="8">
        <v>44182</v>
      </c>
      <c r="C166" s="2" t="s">
        <v>1414</v>
      </c>
      <c r="D166" t="s">
        <v>6144</v>
      </c>
      <c r="E166" s="2">
        <v>4</v>
      </c>
      <c r="F166" s="2" t="str">
        <f>_xlfn.XLOOKUP(orders!C166,customers!$A$1:$A$1001,customers!$B$1:$B$1001,,0)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9">
        <f>INDEX(products!$A$1:$G$49,MATCH(orders!$D166,products!$A$1:$A$49,0),MATCH(orders!K$1,products!$A$1:$G$1,0))</f>
        <v>0.5</v>
      </c>
      <c r="L166" s="10">
        <f>INDEX(products!$A$1:$G$49,MATCH(orders!$D166,products!$A$1:$A$49,0),MATCH(orders!L$1,products!$A$1:$G$1,0))</f>
        <v>7.29</v>
      </c>
      <c r="M166" s="10">
        <f t="shared" si="6"/>
        <v>29.16</v>
      </c>
      <c r="N166" t="str">
        <f t="shared" si="7"/>
        <v>Excelsa</v>
      </c>
      <c r="O166" t="str">
        <f t="shared" si="8"/>
        <v>Dark</v>
      </c>
      <c r="P166" t="str">
        <f>_xlfn.XLOOKUP(Table1[[#This Row],[Customer ID]],customers!$A$1:$A$1001,customers!$I$1:$I$1001,,0)</f>
        <v>No</v>
      </c>
    </row>
    <row r="167" spans="1:16" x14ac:dyDescent="0.25">
      <c r="A167" s="2" t="s">
        <v>1420</v>
      </c>
      <c r="B167" s="8">
        <v>44234</v>
      </c>
      <c r="C167" s="2" t="s">
        <v>1421</v>
      </c>
      <c r="D167" t="s">
        <v>6177</v>
      </c>
      <c r="E167" s="2">
        <v>6</v>
      </c>
      <c r="F167" s="2" t="str">
        <f>_xlfn.XLOOKUP(orders!C167,customers!$A$1:$A$1001,customers!$B$1:$B$1001,,0)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9">
        <f>INDEX(products!$A$1:$G$49,MATCH(orders!$D167,products!$A$1:$A$49,0),MATCH(orders!K$1,products!$A$1:$G$1,0))</f>
        <v>1</v>
      </c>
      <c r="L167" s="10">
        <f>INDEX(products!$A$1:$G$49,MATCH(orders!$D167,products!$A$1:$A$49,0),MATCH(orders!L$1,products!$A$1:$G$1,0))</f>
        <v>8.9499999999999993</v>
      </c>
      <c r="M167" s="10">
        <f t="shared" si="6"/>
        <v>53.699999999999996</v>
      </c>
      <c r="N167" t="str">
        <f t="shared" si="7"/>
        <v>Robusta</v>
      </c>
      <c r="O167" t="str">
        <f t="shared" si="8"/>
        <v>Dark</v>
      </c>
      <c r="P167" t="str">
        <f>_xlfn.XLOOKUP(Table1[[#This Row],[Customer ID]],customers!$A$1:$A$1001,customers!$I$1:$I$1001,,0)</f>
        <v>Yes</v>
      </c>
    </row>
    <row r="168" spans="1:16" x14ac:dyDescent="0.25">
      <c r="A168" s="2" t="s">
        <v>1425</v>
      </c>
      <c r="B168" s="8">
        <v>44270</v>
      </c>
      <c r="C168" s="2" t="s">
        <v>1426</v>
      </c>
      <c r="D168" t="s">
        <v>6172</v>
      </c>
      <c r="E168" s="2">
        <v>5</v>
      </c>
      <c r="F168" s="2" t="str">
        <f>_xlfn.XLOOKUP(orders!C168,customers!$A$1:$A$1001,customers!$B$1:$B$1001,,0)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9">
        <f>INDEX(products!$A$1:$G$49,MATCH(orders!$D168,products!$A$1:$A$49,0),MATCH(orders!K$1,products!$A$1:$G$1,0))</f>
        <v>0.5</v>
      </c>
      <c r="L168" s="10">
        <f>INDEX(products!$A$1:$G$49,MATCH(orders!$D168,products!$A$1:$A$49,0),MATCH(orders!L$1,products!$A$1:$G$1,0))</f>
        <v>5.3699999999999992</v>
      </c>
      <c r="M168" s="10">
        <f t="shared" si="6"/>
        <v>26.849999999999994</v>
      </c>
      <c r="N168" t="str">
        <f t="shared" si="7"/>
        <v>Robusta</v>
      </c>
      <c r="O168" t="str">
        <f t="shared" si="8"/>
        <v>Dark</v>
      </c>
      <c r="P168" t="str">
        <f>_xlfn.XLOOKUP(Table1[[#This Row],[Customer ID]],customers!$A$1:$A$1001,customers!$I$1:$I$1001,,0)</f>
        <v>Yes</v>
      </c>
    </row>
    <row r="169" spans="1:16" x14ac:dyDescent="0.25">
      <c r="A169" s="2" t="s">
        <v>1430</v>
      </c>
      <c r="B169" s="8">
        <v>44777</v>
      </c>
      <c r="C169" s="2" t="s">
        <v>1431</v>
      </c>
      <c r="D169" t="s">
        <v>6139</v>
      </c>
      <c r="E169" s="2">
        <v>5</v>
      </c>
      <c r="F169" s="2" t="str">
        <f>_xlfn.XLOOKUP(orders!C169,customers!$A$1:$A$1001,customers!$B$1:$B$1001,,0)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9">
        <f>INDEX(products!$A$1:$G$49,MATCH(orders!$D169,products!$A$1:$A$49,0),MATCH(orders!K$1,products!$A$1:$G$1,0))</f>
        <v>0.5</v>
      </c>
      <c r="L169" s="10">
        <f>INDEX(products!$A$1:$G$49,MATCH(orders!$D169,products!$A$1:$A$49,0),MATCH(orders!L$1,products!$A$1:$G$1,0))</f>
        <v>8.25</v>
      </c>
      <c r="M169" s="10">
        <f t="shared" si="6"/>
        <v>41.25</v>
      </c>
      <c r="N169" t="str">
        <f t="shared" si="7"/>
        <v>Excelsa</v>
      </c>
      <c r="O169" t="str">
        <f t="shared" si="8"/>
        <v>Medium</v>
      </c>
      <c r="P169" t="str">
        <f>_xlfn.XLOOKUP(Table1[[#This Row],[Customer ID]],customers!$A$1:$A$1001,customers!$I$1:$I$1001,,0)</f>
        <v>Yes</v>
      </c>
    </row>
    <row r="170" spans="1:16" x14ac:dyDescent="0.25">
      <c r="A170" s="2" t="s">
        <v>1436</v>
      </c>
      <c r="B170" s="8">
        <v>43484</v>
      </c>
      <c r="C170" s="2" t="s">
        <v>1437</v>
      </c>
      <c r="D170" t="s">
        <v>6157</v>
      </c>
      <c r="E170" s="2">
        <v>6</v>
      </c>
      <c r="F170" s="2" t="str">
        <f>_xlfn.XLOOKUP(orders!C170,customers!$A$1:$A$1001,customers!$B$1:$B$1001,,0)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9">
        <f>INDEX(products!$A$1:$G$49,MATCH(orders!$D170,products!$A$1:$A$49,0),MATCH(orders!K$1,products!$A$1:$G$1,0))</f>
        <v>0.5</v>
      </c>
      <c r="L170" s="10">
        <f>INDEX(products!$A$1:$G$49,MATCH(orders!$D170,products!$A$1:$A$49,0),MATCH(orders!L$1,products!$A$1:$G$1,0))</f>
        <v>6.75</v>
      </c>
      <c r="M170" s="10">
        <f t="shared" si="6"/>
        <v>40.5</v>
      </c>
      <c r="N170" t="str">
        <f t="shared" si="7"/>
        <v>Arabica</v>
      </c>
      <c r="O170" t="str">
        <f t="shared" si="8"/>
        <v>Medium</v>
      </c>
      <c r="P170" t="str">
        <f>_xlfn.XLOOKUP(Table1[[#This Row],[Customer ID]],customers!$A$1:$A$1001,customers!$I$1:$I$1001,,0)</f>
        <v>No</v>
      </c>
    </row>
    <row r="171" spans="1:16" x14ac:dyDescent="0.25">
      <c r="A171" s="2" t="s">
        <v>1441</v>
      </c>
      <c r="B171" s="8">
        <v>44643</v>
      </c>
      <c r="C171" s="2" t="s">
        <v>1442</v>
      </c>
      <c r="D171" t="s">
        <v>6177</v>
      </c>
      <c r="E171" s="2">
        <v>2</v>
      </c>
      <c r="F171" s="2" t="str">
        <f>_xlfn.XLOOKUP(orders!C171,customers!$A$1:$A$1001,customers!$B$1:$B$1001,,0)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9">
        <f>INDEX(products!$A$1:$G$49,MATCH(orders!$D171,products!$A$1:$A$49,0),MATCH(orders!K$1,products!$A$1:$G$1,0))</f>
        <v>1</v>
      </c>
      <c r="L171" s="10">
        <f>INDEX(products!$A$1:$G$49,MATCH(orders!$D171,products!$A$1:$A$49,0),MATCH(orders!L$1,products!$A$1:$G$1,0))</f>
        <v>8.9499999999999993</v>
      </c>
      <c r="M171" s="10">
        <f t="shared" si="6"/>
        <v>17.899999999999999</v>
      </c>
      <c r="N171" t="str">
        <f t="shared" si="7"/>
        <v>Robusta</v>
      </c>
      <c r="O171" t="str">
        <f t="shared" si="8"/>
        <v>Dark</v>
      </c>
      <c r="P171" t="str">
        <f>_xlfn.XLOOKUP(Table1[[#This Row],[Customer ID]],customers!$A$1:$A$1001,customers!$I$1:$I$1001,,0)</f>
        <v>No</v>
      </c>
    </row>
    <row r="172" spans="1:16" x14ac:dyDescent="0.25">
      <c r="A172" s="2" t="s">
        <v>1448</v>
      </c>
      <c r="B172" s="8">
        <v>44476</v>
      </c>
      <c r="C172" s="2" t="s">
        <v>1449</v>
      </c>
      <c r="D172" t="s">
        <v>6148</v>
      </c>
      <c r="E172" s="2">
        <v>2</v>
      </c>
      <c r="F172" s="2" t="str">
        <f>_xlfn.XLOOKUP(orders!C172,customers!$A$1:$A$1001,customers!$B$1:$B$1001,,0)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9">
        <f>INDEX(products!$A$1:$G$49,MATCH(orders!$D172,products!$A$1:$A$49,0),MATCH(orders!K$1,products!$A$1:$G$1,0))</f>
        <v>2.5</v>
      </c>
      <c r="L172" s="10">
        <f>INDEX(products!$A$1:$G$49,MATCH(orders!$D172,products!$A$1:$A$49,0),MATCH(orders!L$1,products!$A$1:$G$1,0))</f>
        <v>34.154999999999994</v>
      </c>
      <c r="M172" s="10">
        <f t="shared" si="6"/>
        <v>68.309999999999988</v>
      </c>
      <c r="N172" t="str">
        <f t="shared" si="7"/>
        <v>Excelsa</v>
      </c>
      <c r="O172" t="str">
        <f t="shared" si="8"/>
        <v>Light</v>
      </c>
      <c r="P172" t="str">
        <f>_xlfn.XLOOKUP(Table1[[#This Row],[Customer ID]],customers!$A$1:$A$1001,customers!$I$1:$I$1001,,0)</f>
        <v>No</v>
      </c>
    </row>
    <row r="173" spans="1:16" x14ac:dyDescent="0.25">
      <c r="A173" s="2" t="s">
        <v>1453</v>
      </c>
      <c r="B173" s="8">
        <v>43544</v>
      </c>
      <c r="C173" s="2" t="s">
        <v>1454</v>
      </c>
      <c r="D173" t="s">
        <v>6166</v>
      </c>
      <c r="E173" s="2">
        <v>2</v>
      </c>
      <c r="F173" s="2" t="str">
        <f>_xlfn.XLOOKUP(orders!C173,customers!$A$1:$A$1001,customers!$B$1:$B$1001,,0)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9">
        <f>INDEX(products!$A$1:$G$49,MATCH(orders!$D173,products!$A$1:$A$49,0),MATCH(orders!K$1,products!$A$1:$G$1,0))</f>
        <v>2.5</v>
      </c>
      <c r="L173" s="10">
        <f>INDEX(products!$A$1:$G$49,MATCH(orders!$D173,products!$A$1:$A$49,0),MATCH(orders!L$1,products!$A$1:$G$1,0))</f>
        <v>31.624999999999996</v>
      </c>
      <c r="M173" s="10">
        <f t="shared" si="6"/>
        <v>63.249999999999993</v>
      </c>
      <c r="N173" t="str">
        <f t="shared" si="7"/>
        <v>Excelsa</v>
      </c>
      <c r="O173" t="str">
        <f t="shared" si="8"/>
        <v>Medium</v>
      </c>
      <c r="P173" t="str">
        <f>_xlfn.XLOOKUP(Table1[[#This Row],[Customer ID]],customers!$A$1:$A$1001,customers!$I$1:$I$1001,,0)</f>
        <v>Yes</v>
      </c>
    </row>
    <row r="174" spans="1:16" x14ac:dyDescent="0.25">
      <c r="A174" s="2" t="s">
        <v>1459</v>
      </c>
      <c r="B174" s="8">
        <v>44545</v>
      </c>
      <c r="C174" s="2" t="s">
        <v>1460</v>
      </c>
      <c r="D174" t="s">
        <v>6144</v>
      </c>
      <c r="E174" s="2">
        <v>3</v>
      </c>
      <c r="F174" s="2" t="str">
        <f>_xlfn.XLOOKUP(orders!C174,customers!$A$1:$A$1001,customers!$B$1:$B$1001,,0)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9">
        <f>INDEX(products!$A$1:$G$49,MATCH(orders!$D174,products!$A$1:$A$49,0),MATCH(orders!K$1,products!$A$1:$G$1,0))</f>
        <v>0.5</v>
      </c>
      <c r="L174" s="10">
        <f>INDEX(products!$A$1:$G$49,MATCH(orders!$D174,products!$A$1:$A$49,0),MATCH(orders!L$1,products!$A$1:$G$1,0))</f>
        <v>7.29</v>
      </c>
      <c r="M174" s="10">
        <f t="shared" si="6"/>
        <v>21.87</v>
      </c>
      <c r="N174" t="str">
        <f t="shared" si="7"/>
        <v>Excelsa</v>
      </c>
      <c r="O174" t="str">
        <f t="shared" si="8"/>
        <v>Dark</v>
      </c>
      <c r="P174" t="str">
        <f>_xlfn.XLOOKUP(Table1[[#This Row],[Customer ID]],customers!$A$1:$A$1001,customers!$I$1:$I$1001,,0)</f>
        <v>No</v>
      </c>
    </row>
    <row r="175" spans="1:16" x14ac:dyDescent="0.25">
      <c r="A175" s="2" t="s">
        <v>1464</v>
      </c>
      <c r="B175" s="8">
        <v>44720</v>
      </c>
      <c r="C175" s="2" t="s">
        <v>1465</v>
      </c>
      <c r="D175" t="s">
        <v>6151</v>
      </c>
      <c r="E175" s="2">
        <v>4</v>
      </c>
      <c r="F175" s="2" t="str">
        <f>_xlfn.XLOOKUP(orders!C175,customers!$A$1:$A$1001,customers!$B$1:$B$1001,,0)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9">
        <f>INDEX(products!$A$1:$G$49,MATCH(orders!$D175,products!$A$1:$A$49,0),MATCH(orders!K$1,products!$A$1:$G$1,0))</f>
        <v>2.5</v>
      </c>
      <c r="L175" s="10">
        <f>INDEX(products!$A$1:$G$49,MATCH(orders!$D175,products!$A$1:$A$49,0),MATCH(orders!L$1,products!$A$1:$G$1,0))</f>
        <v>22.884999999999998</v>
      </c>
      <c r="M175" s="10">
        <f t="shared" si="6"/>
        <v>91.539999999999992</v>
      </c>
      <c r="N175" t="str">
        <f t="shared" si="7"/>
        <v>Robusta</v>
      </c>
      <c r="O175" t="str">
        <f t="shared" si="8"/>
        <v>Medium</v>
      </c>
      <c r="P175" t="str">
        <f>_xlfn.XLOOKUP(Table1[[#This Row],[Customer ID]],customers!$A$1:$A$1001,customers!$I$1:$I$1001,,0)</f>
        <v>No</v>
      </c>
    </row>
    <row r="176" spans="1:16" x14ac:dyDescent="0.25">
      <c r="A176" s="2" t="s">
        <v>1470</v>
      </c>
      <c r="B176" s="8">
        <v>43813</v>
      </c>
      <c r="C176" s="2" t="s">
        <v>1471</v>
      </c>
      <c r="D176" t="s">
        <v>6148</v>
      </c>
      <c r="E176" s="2">
        <v>6</v>
      </c>
      <c r="F176" s="2" t="str">
        <f>_xlfn.XLOOKUP(orders!C176,customers!$A$1:$A$1001,customers!$B$1:$B$1001,,0)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9">
        <f>INDEX(products!$A$1:$G$49,MATCH(orders!$D176,products!$A$1:$A$49,0),MATCH(orders!K$1,products!$A$1:$G$1,0))</f>
        <v>2.5</v>
      </c>
      <c r="L176" s="10">
        <f>INDEX(products!$A$1:$G$49,MATCH(orders!$D176,products!$A$1:$A$49,0),MATCH(orders!L$1,products!$A$1:$G$1,0))</f>
        <v>34.154999999999994</v>
      </c>
      <c r="M176" s="10">
        <f t="shared" si="6"/>
        <v>204.92999999999995</v>
      </c>
      <c r="N176" t="str">
        <f t="shared" si="7"/>
        <v>Excelsa</v>
      </c>
      <c r="O176" t="str">
        <f t="shared" si="8"/>
        <v>Light</v>
      </c>
      <c r="P176" t="str">
        <f>_xlfn.XLOOKUP(Table1[[#This Row],[Customer ID]],customers!$A$1:$A$1001,customers!$I$1:$I$1001,,0)</f>
        <v>Yes</v>
      </c>
    </row>
    <row r="177" spans="1:16" x14ac:dyDescent="0.25">
      <c r="A177" s="2" t="s">
        <v>1475</v>
      </c>
      <c r="B177" s="8">
        <v>44296</v>
      </c>
      <c r="C177" s="2" t="s">
        <v>1476</v>
      </c>
      <c r="D177" t="s">
        <v>6166</v>
      </c>
      <c r="E177" s="2">
        <v>2</v>
      </c>
      <c r="F177" s="2" t="str">
        <f>_xlfn.XLOOKUP(orders!C177,customers!$A$1:$A$1001,customers!$B$1:$B$1001,,0)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9">
        <f>INDEX(products!$A$1:$G$49,MATCH(orders!$D177,products!$A$1:$A$49,0),MATCH(orders!K$1,products!$A$1:$G$1,0))</f>
        <v>2.5</v>
      </c>
      <c r="L177" s="10">
        <f>INDEX(products!$A$1:$G$49,MATCH(orders!$D177,products!$A$1:$A$49,0),MATCH(orders!L$1,products!$A$1:$G$1,0))</f>
        <v>31.624999999999996</v>
      </c>
      <c r="M177" s="10">
        <f t="shared" si="6"/>
        <v>63.249999999999993</v>
      </c>
      <c r="N177" t="str">
        <f t="shared" si="7"/>
        <v>Excelsa</v>
      </c>
      <c r="O177" t="str">
        <f t="shared" si="8"/>
        <v>Medium</v>
      </c>
      <c r="P177" t="str">
        <f>_xlfn.XLOOKUP(Table1[[#This Row],[Customer ID]],customers!$A$1:$A$1001,customers!$I$1:$I$1001,,0)</f>
        <v>Yes</v>
      </c>
    </row>
    <row r="178" spans="1:16" x14ac:dyDescent="0.25">
      <c r="A178" s="2" t="s">
        <v>1481</v>
      </c>
      <c r="B178" s="8">
        <v>43900</v>
      </c>
      <c r="C178" s="2" t="s">
        <v>1482</v>
      </c>
      <c r="D178" t="s">
        <v>6148</v>
      </c>
      <c r="E178" s="2">
        <v>1</v>
      </c>
      <c r="F178" s="2" t="str">
        <f>_xlfn.XLOOKUP(orders!C178,customers!$A$1:$A$1001,customers!$B$1:$B$1001,,0)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9">
        <f>INDEX(products!$A$1:$G$49,MATCH(orders!$D178,products!$A$1:$A$49,0),MATCH(orders!K$1,products!$A$1:$G$1,0))</f>
        <v>2.5</v>
      </c>
      <c r="L178" s="10">
        <f>INDEX(products!$A$1:$G$49,MATCH(orders!$D178,products!$A$1:$A$49,0),MATCH(orders!L$1,products!$A$1:$G$1,0))</f>
        <v>34.154999999999994</v>
      </c>
      <c r="M178" s="10">
        <f t="shared" si="6"/>
        <v>34.154999999999994</v>
      </c>
      <c r="N178" t="str">
        <f t="shared" si="7"/>
        <v>Excelsa</v>
      </c>
      <c r="O178" t="str">
        <f t="shared" si="8"/>
        <v>Light</v>
      </c>
      <c r="P178" t="str">
        <f>_xlfn.XLOOKUP(Table1[[#This Row],[Customer ID]],customers!$A$1:$A$1001,customers!$I$1:$I$1001,,0)</f>
        <v>Yes</v>
      </c>
    </row>
    <row r="179" spans="1:16" x14ac:dyDescent="0.25">
      <c r="A179" s="2" t="s">
        <v>1487</v>
      </c>
      <c r="B179" s="8">
        <v>44120</v>
      </c>
      <c r="C179" s="2" t="s">
        <v>1488</v>
      </c>
      <c r="D179" t="s">
        <v>6142</v>
      </c>
      <c r="E179" s="2">
        <v>4</v>
      </c>
      <c r="F179" s="2" t="str">
        <f>_xlfn.XLOOKUP(orders!C179,customers!$A$1:$A$1001,customers!$B$1:$B$1001,,0)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9">
        <f>INDEX(products!$A$1:$G$49,MATCH(orders!$D179,products!$A$1:$A$49,0),MATCH(orders!K$1,products!$A$1:$G$1,0))</f>
        <v>2.5</v>
      </c>
      <c r="L179" s="10">
        <f>INDEX(products!$A$1:$G$49,MATCH(orders!$D179,products!$A$1:$A$49,0),MATCH(orders!L$1,products!$A$1:$G$1,0))</f>
        <v>27.484999999999996</v>
      </c>
      <c r="M179" s="10">
        <f t="shared" si="6"/>
        <v>109.93999999999998</v>
      </c>
      <c r="N179" t="str">
        <f t="shared" si="7"/>
        <v>Robusta</v>
      </c>
      <c r="O179" t="str">
        <f t="shared" si="8"/>
        <v>Light</v>
      </c>
      <c r="P179" t="str">
        <f>_xlfn.XLOOKUP(Table1[[#This Row],[Customer ID]],customers!$A$1:$A$1001,customers!$I$1:$I$1001,,0)</f>
        <v>Yes</v>
      </c>
    </row>
    <row r="180" spans="1:16" x14ac:dyDescent="0.25">
      <c r="A180" s="2" t="s">
        <v>1492</v>
      </c>
      <c r="B180" s="8">
        <v>43746</v>
      </c>
      <c r="C180" s="2" t="s">
        <v>1493</v>
      </c>
      <c r="D180" t="s">
        <v>6140</v>
      </c>
      <c r="E180" s="2">
        <v>2</v>
      </c>
      <c r="F180" s="2" t="str">
        <f>_xlfn.XLOOKUP(orders!C180,customers!$A$1:$A$1001,customers!$B$1:$B$1001,,0)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9">
        <f>INDEX(products!$A$1:$G$49,MATCH(orders!$D180,products!$A$1:$A$49,0),MATCH(orders!K$1,products!$A$1:$G$1,0))</f>
        <v>1</v>
      </c>
      <c r="L180" s="10">
        <f>INDEX(products!$A$1:$G$49,MATCH(orders!$D180,products!$A$1:$A$49,0),MATCH(orders!L$1,products!$A$1:$G$1,0))</f>
        <v>12.95</v>
      </c>
      <c r="M180" s="10">
        <f t="shared" si="6"/>
        <v>25.9</v>
      </c>
      <c r="N180" t="str">
        <f t="shared" si="7"/>
        <v>Arabica</v>
      </c>
      <c r="O180" t="str">
        <f t="shared" si="8"/>
        <v>Light</v>
      </c>
      <c r="P180" t="str">
        <f>_xlfn.XLOOKUP(Table1[[#This Row],[Customer ID]],customers!$A$1:$A$1001,customers!$I$1:$I$1001,,0)</f>
        <v>No</v>
      </c>
    </row>
    <row r="181" spans="1:16" x14ac:dyDescent="0.25">
      <c r="A181" s="2" t="s">
        <v>1498</v>
      </c>
      <c r="B181" s="8">
        <v>43830</v>
      </c>
      <c r="C181" s="2" t="s">
        <v>1499</v>
      </c>
      <c r="D181" t="s">
        <v>6154</v>
      </c>
      <c r="E181" s="2">
        <v>1</v>
      </c>
      <c r="F181" s="2" t="str">
        <f>_xlfn.XLOOKUP(orders!C181,customers!$A$1:$A$1001,customers!$B$1:$B$1001,,0)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9">
        <f>INDEX(products!$A$1:$G$49,MATCH(orders!$D181,products!$A$1:$A$49,0),MATCH(orders!K$1,products!$A$1:$G$1,0))</f>
        <v>0.2</v>
      </c>
      <c r="L181" s="10">
        <f>INDEX(products!$A$1:$G$49,MATCH(orders!$D181,products!$A$1:$A$49,0),MATCH(orders!L$1,products!$A$1:$G$1,0))</f>
        <v>2.9849999999999999</v>
      </c>
      <c r="M181" s="10">
        <f t="shared" si="6"/>
        <v>2.9849999999999999</v>
      </c>
      <c r="N181" t="str">
        <f t="shared" si="7"/>
        <v>Arabica</v>
      </c>
      <c r="O181" t="str">
        <f t="shared" si="8"/>
        <v>Dark</v>
      </c>
      <c r="P181" t="str">
        <f>_xlfn.XLOOKUP(Table1[[#This Row],[Customer ID]],customers!$A$1:$A$1001,customers!$I$1:$I$1001,,0)</f>
        <v>No</v>
      </c>
    </row>
    <row r="182" spans="1:16" x14ac:dyDescent="0.25">
      <c r="A182" s="2" t="s">
        <v>1503</v>
      </c>
      <c r="B182" s="8">
        <v>43910</v>
      </c>
      <c r="C182" s="2" t="s">
        <v>1504</v>
      </c>
      <c r="D182" t="s">
        <v>6184</v>
      </c>
      <c r="E182" s="2">
        <v>5</v>
      </c>
      <c r="F182" s="2" t="str">
        <f>_xlfn.XLOOKUP(orders!C182,customers!$A$1:$A$1001,customers!$B$1:$B$1001,,0)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9">
        <f>INDEX(products!$A$1:$G$49,MATCH(orders!$D182,products!$A$1:$A$49,0),MATCH(orders!K$1,products!$A$1:$G$1,0))</f>
        <v>0.2</v>
      </c>
      <c r="L182" s="10">
        <f>INDEX(products!$A$1:$G$49,MATCH(orders!$D182,products!$A$1:$A$49,0),MATCH(orders!L$1,products!$A$1:$G$1,0))</f>
        <v>4.4550000000000001</v>
      </c>
      <c r="M182" s="10">
        <f t="shared" si="6"/>
        <v>22.274999999999999</v>
      </c>
      <c r="N182" t="str">
        <f t="shared" si="7"/>
        <v>Excelsa</v>
      </c>
      <c r="O182" t="str">
        <f t="shared" si="8"/>
        <v>Light</v>
      </c>
      <c r="P182" t="str">
        <f>_xlfn.XLOOKUP(Table1[[#This Row],[Customer ID]],customers!$A$1:$A$1001,customers!$I$1:$I$1001,,0)</f>
        <v>No</v>
      </c>
    </row>
    <row r="183" spans="1:16" x14ac:dyDescent="0.25">
      <c r="A183" s="2" t="s">
        <v>1503</v>
      </c>
      <c r="B183" s="8">
        <v>43910</v>
      </c>
      <c r="C183" s="2" t="s">
        <v>1504</v>
      </c>
      <c r="D183" t="s">
        <v>6158</v>
      </c>
      <c r="E183" s="2">
        <v>5</v>
      </c>
      <c r="F183" s="2" t="str">
        <f>_xlfn.XLOOKUP(orders!C183,customers!$A$1:$A$1001,customers!$B$1:$B$1001,,0)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9">
        <f>INDEX(products!$A$1:$G$49,MATCH(orders!$D183,products!$A$1:$A$49,0),MATCH(orders!K$1,products!$A$1:$G$1,0))</f>
        <v>0.5</v>
      </c>
      <c r="L183" s="10">
        <f>INDEX(products!$A$1:$G$49,MATCH(orders!$D183,products!$A$1:$A$49,0),MATCH(orders!L$1,products!$A$1:$G$1,0))</f>
        <v>5.97</v>
      </c>
      <c r="M183" s="10">
        <f t="shared" si="6"/>
        <v>29.849999999999998</v>
      </c>
      <c r="N183" t="str">
        <f t="shared" si="7"/>
        <v>Arabica</v>
      </c>
      <c r="O183" t="str">
        <f t="shared" si="8"/>
        <v>Dark</v>
      </c>
      <c r="P183" t="str">
        <f>_xlfn.XLOOKUP(Table1[[#This Row],[Customer ID]],customers!$A$1:$A$1001,customers!$I$1:$I$1001,,0)</f>
        <v>No</v>
      </c>
    </row>
    <row r="184" spans="1:16" x14ac:dyDescent="0.25">
      <c r="A184" s="2" t="s">
        <v>1514</v>
      </c>
      <c r="B184" s="8">
        <v>44284</v>
      </c>
      <c r="C184" s="2" t="s">
        <v>1515</v>
      </c>
      <c r="D184" t="s">
        <v>6172</v>
      </c>
      <c r="E184" s="2">
        <v>6</v>
      </c>
      <c r="F184" s="2" t="str">
        <f>_xlfn.XLOOKUP(orders!C184,customers!$A$1:$A$1001,customers!$B$1:$B$1001,,0)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9">
        <f>INDEX(products!$A$1:$G$49,MATCH(orders!$D184,products!$A$1:$A$49,0),MATCH(orders!K$1,products!$A$1:$G$1,0))</f>
        <v>0.5</v>
      </c>
      <c r="L184" s="10">
        <f>INDEX(products!$A$1:$G$49,MATCH(orders!$D184,products!$A$1:$A$49,0),MATCH(orders!L$1,products!$A$1:$G$1,0))</f>
        <v>5.3699999999999992</v>
      </c>
      <c r="M184" s="10">
        <f t="shared" si="6"/>
        <v>32.22</v>
      </c>
      <c r="N184" t="str">
        <f t="shared" si="7"/>
        <v>Robusta</v>
      </c>
      <c r="O184" t="str">
        <f t="shared" si="8"/>
        <v>Dark</v>
      </c>
      <c r="P184" t="str">
        <f>_xlfn.XLOOKUP(Table1[[#This Row],[Customer ID]],customers!$A$1:$A$1001,customers!$I$1:$I$1001,,0)</f>
        <v>No</v>
      </c>
    </row>
    <row r="185" spans="1:16" x14ac:dyDescent="0.25">
      <c r="A185" s="2" t="s">
        <v>1520</v>
      </c>
      <c r="B185" s="8">
        <v>44512</v>
      </c>
      <c r="C185" s="2" t="s">
        <v>1521</v>
      </c>
      <c r="D185" t="s">
        <v>6156</v>
      </c>
      <c r="E185" s="2">
        <v>2</v>
      </c>
      <c r="F185" s="2" t="str">
        <f>_xlfn.XLOOKUP(orders!C185,customers!$A$1:$A$1001,customers!$B$1:$B$1001,,0)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9">
        <f>INDEX(products!$A$1:$G$49,MATCH(orders!$D185,products!$A$1:$A$49,0),MATCH(orders!K$1,products!$A$1:$G$1,0))</f>
        <v>0.2</v>
      </c>
      <c r="L185" s="10">
        <f>INDEX(products!$A$1:$G$49,MATCH(orders!$D185,products!$A$1:$A$49,0),MATCH(orders!L$1,products!$A$1:$G$1,0))</f>
        <v>4.125</v>
      </c>
      <c r="M185" s="10">
        <f t="shared" si="6"/>
        <v>8.25</v>
      </c>
      <c r="N185" t="str">
        <f t="shared" si="7"/>
        <v>Excelsa</v>
      </c>
      <c r="O185" t="str">
        <f t="shared" si="8"/>
        <v>Medium</v>
      </c>
      <c r="P185" t="str">
        <f>_xlfn.XLOOKUP(Table1[[#This Row],[Customer ID]],customers!$A$1:$A$1001,customers!$I$1:$I$1001,,0)</f>
        <v>No</v>
      </c>
    </row>
    <row r="186" spans="1:16" x14ac:dyDescent="0.25">
      <c r="A186" s="2" t="s">
        <v>1526</v>
      </c>
      <c r="B186" s="8">
        <v>44397</v>
      </c>
      <c r="C186" s="2" t="s">
        <v>1527</v>
      </c>
      <c r="D186" t="s">
        <v>6180</v>
      </c>
      <c r="E186" s="2">
        <v>4</v>
      </c>
      <c r="F186" s="2" t="str">
        <f>_xlfn.XLOOKUP(orders!C186,customers!$A$1:$A$1001,customers!$B$1:$B$1001,,0)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9">
        <f>INDEX(products!$A$1:$G$49,MATCH(orders!$D186,products!$A$1:$A$49,0),MATCH(orders!K$1,products!$A$1:$G$1,0))</f>
        <v>0.5</v>
      </c>
      <c r="L186" s="10">
        <f>INDEX(products!$A$1:$G$49,MATCH(orders!$D186,products!$A$1:$A$49,0),MATCH(orders!L$1,products!$A$1:$G$1,0))</f>
        <v>7.77</v>
      </c>
      <c r="M186" s="10">
        <f t="shared" si="6"/>
        <v>31.08</v>
      </c>
      <c r="N186" t="str">
        <f t="shared" si="7"/>
        <v>Arabica</v>
      </c>
      <c r="O186" t="str">
        <f t="shared" si="8"/>
        <v>Light</v>
      </c>
      <c r="P186" t="str">
        <f>_xlfn.XLOOKUP(Table1[[#This Row],[Customer ID]],customers!$A$1:$A$1001,customers!$I$1:$I$1001,,0)</f>
        <v>No</v>
      </c>
    </row>
    <row r="187" spans="1:16" x14ac:dyDescent="0.25">
      <c r="A187" s="2" t="s">
        <v>1532</v>
      </c>
      <c r="B187" s="8">
        <v>43483</v>
      </c>
      <c r="C187" s="2" t="s">
        <v>1533</v>
      </c>
      <c r="D187" t="s">
        <v>6144</v>
      </c>
      <c r="E187" s="2">
        <v>5</v>
      </c>
      <c r="F187" s="2" t="str">
        <f>_xlfn.XLOOKUP(orders!C187,customers!$A$1:$A$1001,customers!$B$1:$B$1001,,0)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9">
        <f>INDEX(products!$A$1:$G$49,MATCH(orders!$D187,products!$A$1:$A$49,0),MATCH(orders!K$1,products!$A$1:$G$1,0))</f>
        <v>0.5</v>
      </c>
      <c r="L187" s="10">
        <f>INDEX(products!$A$1:$G$49,MATCH(orders!$D187,products!$A$1:$A$49,0),MATCH(orders!L$1,products!$A$1:$G$1,0))</f>
        <v>7.29</v>
      </c>
      <c r="M187" s="10">
        <f t="shared" si="6"/>
        <v>36.450000000000003</v>
      </c>
      <c r="N187" t="str">
        <f t="shared" si="7"/>
        <v>Excelsa</v>
      </c>
      <c r="O187" t="str">
        <f t="shared" si="8"/>
        <v>Dark</v>
      </c>
      <c r="P187" t="str">
        <f>_xlfn.XLOOKUP(Table1[[#This Row],[Customer ID]],customers!$A$1:$A$1001,customers!$I$1:$I$1001,,0)</f>
        <v>Yes</v>
      </c>
    </row>
    <row r="188" spans="1:16" x14ac:dyDescent="0.25">
      <c r="A188" s="2" t="s">
        <v>1538</v>
      </c>
      <c r="B188" s="8">
        <v>43684</v>
      </c>
      <c r="C188" s="2" t="s">
        <v>1539</v>
      </c>
      <c r="D188" t="s">
        <v>6151</v>
      </c>
      <c r="E188" s="2">
        <v>3</v>
      </c>
      <c r="F188" s="2" t="str">
        <f>_xlfn.XLOOKUP(orders!C188,customers!$A$1:$A$1001,customers!$B$1:$B$1001,,0)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9">
        <f>INDEX(products!$A$1:$G$49,MATCH(orders!$D188,products!$A$1:$A$49,0),MATCH(orders!K$1,products!$A$1:$G$1,0))</f>
        <v>2.5</v>
      </c>
      <c r="L188" s="10">
        <f>INDEX(products!$A$1:$G$49,MATCH(orders!$D188,products!$A$1:$A$49,0),MATCH(orders!L$1,products!$A$1:$G$1,0))</f>
        <v>22.884999999999998</v>
      </c>
      <c r="M188" s="10">
        <f t="shared" si="6"/>
        <v>68.655000000000001</v>
      </c>
      <c r="N188" t="str">
        <f t="shared" si="7"/>
        <v>Robusta</v>
      </c>
      <c r="O188" t="str">
        <f t="shared" si="8"/>
        <v>Medium</v>
      </c>
      <c r="P188" t="str">
        <f>_xlfn.XLOOKUP(Table1[[#This Row],[Customer ID]],customers!$A$1:$A$1001,customers!$I$1:$I$1001,,0)</f>
        <v>No</v>
      </c>
    </row>
    <row r="189" spans="1:16" x14ac:dyDescent="0.25">
      <c r="A189" s="2" t="s">
        <v>1544</v>
      </c>
      <c r="B189" s="8">
        <v>44633</v>
      </c>
      <c r="C189" s="2" t="s">
        <v>1545</v>
      </c>
      <c r="D189" t="s">
        <v>6160</v>
      </c>
      <c r="E189" s="2">
        <v>5</v>
      </c>
      <c r="F189" s="2" t="str">
        <f>_xlfn.XLOOKUP(orders!C189,customers!$A$1:$A$1001,customers!$B$1:$B$1001,,0)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9">
        <f>INDEX(products!$A$1:$G$49,MATCH(orders!$D189,products!$A$1:$A$49,0),MATCH(orders!K$1,products!$A$1:$G$1,0))</f>
        <v>0.5</v>
      </c>
      <c r="L189" s="10">
        <f>INDEX(products!$A$1:$G$49,MATCH(orders!$D189,products!$A$1:$A$49,0),MATCH(orders!L$1,products!$A$1:$G$1,0))</f>
        <v>8.73</v>
      </c>
      <c r="M189" s="10">
        <f t="shared" si="6"/>
        <v>43.650000000000006</v>
      </c>
      <c r="N189" t="str">
        <f t="shared" si="7"/>
        <v>Liberica</v>
      </c>
      <c r="O189" t="str">
        <f t="shared" si="8"/>
        <v>Medium</v>
      </c>
      <c r="P189" t="str">
        <f>_xlfn.XLOOKUP(Table1[[#This Row],[Customer ID]],customers!$A$1:$A$1001,customers!$I$1:$I$1001,,0)</f>
        <v>Yes</v>
      </c>
    </row>
    <row r="190" spans="1:16" x14ac:dyDescent="0.25">
      <c r="A190" s="2" t="s">
        <v>1549</v>
      </c>
      <c r="B190" s="8">
        <v>44698</v>
      </c>
      <c r="C190" s="2" t="s">
        <v>1550</v>
      </c>
      <c r="D190" t="s">
        <v>6184</v>
      </c>
      <c r="E190" s="2">
        <v>1</v>
      </c>
      <c r="F190" s="2" t="str">
        <f>_xlfn.XLOOKUP(orders!C190,customers!$A$1:$A$1001,customers!$B$1:$B$1001,,0)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9">
        <f>INDEX(products!$A$1:$G$49,MATCH(orders!$D190,products!$A$1:$A$49,0),MATCH(orders!K$1,products!$A$1:$G$1,0))</f>
        <v>0.2</v>
      </c>
      <c r="L190" s="10">
        <f>INDEX(products!$A$1:$G$49,MATCH(orders!$D190,products!$A$1:$A$49,0),MATCH(orders!L$1,products!$A$1:$G$1,0))</f>
        <v>4.4550000000000001</v>
      </c>
      <c r="M190" s="10">
        <f t="shared" si="6"/>
        <v>4.4550000000000001</v>
      </c>
      <c r="N190" t="str">
        <f t="shared" si="7"/>
        <v>Excelsa</v>
      </c>
      <c r="O190" t="str">
        <f t="shared" si="8"/>
        <v>Light</v>
      </c>
      <c r="P190" t="str">
        <f>_xlfn.XLOOKUP(Table1[[#This Row],[Customer ID]],customers!$A$1:$A$1001,customers!$I$1:$I$1001,,0)</f>
        <v>Yes</v>
      </c>
    </row>
    <row r="191" spans="1:16" x14ac:dyDescent="0.25">
      <c r="A191" s="2" t="s">
        <v>1555</v>
      </c>
      <c r="B191" s="8">
        <v>43813</v>
      </c>
      <c r="C191" s="2" t="s">
        <v>1556</v>
      </c>
      <c r="D191" t="s">
        <v>6162</v>
      </c>
      <c r="E191" s="2">
        <v>3</v>
      </c>
      <c r="F191" s="2" t="str">
        <f>_xlfn.XLOOKUP(orders!C191,customers!$A$1:$A$1001,customers!$B$1:$B$1001,,0)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9">
        <f>INDEX(products!$A$1:$G$49,MATCH(orders!$D191,products!$A$1:$A$49,0),MATCH(orders!K$1,products!$A$1:$G$1,0))</f>
        <v>1</v>
      </c>
      <c r="L191" s="10">
        <f>INDEX(products!$A$1:$G$49,MATCH(orders!$D191,products!$A$1:$A$49,0),MATCH(orders!L$1,products!$A$1:$G$1,0))</f>
        <v>14.55</v>
      </c>
      <c r="M191" s="10">
        <f t="shared" si="6"/>
        <v>43.650000000000006</v>
      </c>
      <c r="N191" t="str">
        <f t="shared" si="7"/>
        <v>Liberica</v>
      </c>
      <c r="O191" t="str">
        <f t="shared" si="8"/>
        <v>Medium</v>
      </c>
      <c r="P191" t="str">
        <f>_xlfn.XLOOKUP(Table1[[#This Row],[Customer ID]],customers!$A$1:$A$1001,customers!$I$1:$I$1001,,0)</f>
        <v>Yes</v>
      </c>
    </row>
    <row r="192" spans="1:16" x14ac:dyDescent="0.25">
      <c r="A192" s="2" t="s">
        <v>1561</v>
      </c>
      <c r="B192" s="8">
        <v>43845</v>
      </c>
      <c r="C192" s="2" t="s">
        <v>1562</v>
      </c>
      <c r="D192" t="s">
        <v>6181</v>
      </c>
      <c r="E192" s="2">
        <v>1</v>
      </c>
      <c r="F192" s="2" t="str">
        <f>_xlfn.XLOOKUP(orders!C192,customers!$A$1:$A$1001,customers!$B$1:$B$1001,,0)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9">
        <f>INDEX(products!$A$1:$G$49,MATCH(orders!$D192,products!$A$1:$A$49,0),MATCH(orders!K$1,products!$A$1:$G$1,0))</f>
        <v>2.5</v>
      </c>
      <c r="L192" s="10">
        <f>INDEX(products!$A$1:$G$49,MATCH(orders!$D192,products!$A$1:$A$49,0),MATCH(orders!L$1,products!$A$1:$G$1,0))</f>
        <v>33.464999999999996</v>
      </c>
      <c r="M192" s="10">
        <f t="shared" si="6"/>
        <v>33.464999999999996</v>
      </c>
      <c r="N192" t="str">
        <f t="shared" si="7"/>
        <v>Liberica</v>
      </c>
      <c r="O192" t="str">
        <f t="shared" si="8"/>
        <v>Medium</v>
      </c>
      <c r="P192" t="str">
        <f>_xlfn.XLOOKUP(Table1[[#This Row],[Customer ID]],customers!$A$1:$A$1001,customers!$I$1:$I$1001,,0)</f>
        <v>Yes</v>
      </c>
    </row>
    <row r="193" spans="1:16" x14ac:dyDescent="0.25">
      <c r="A193" s="2" t="s">
        <v>1567</v>
      </c>
      <c r="B193" s="8">
        <v>43567</v>
      </c>
      <c r="C193" s="2" t="s">
        <v>1568</v>
      </c>
      <c r="D193" t="s">
        <v>6150</v>
      </c>
      <c r="E193" s="2">
        <v>5</v>
      </c>
      <c r="F193" s="2" t="str">
        <f>_xlfn.XLOOKUP(orders!C193,customers!$A$1:$A$1001,customers!$B$1:$B$1001,,0)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9">
        <f>INDEX(products!$A$1:$G$49,MATCH(orders!$D193,products!$A$1:$A$49,0),MATCH(orders!K$1,products!$A$1:$G$1,0))</f>
        <v>0.2</v>
      </c>
      <c r="L193" s="10">
        <f>INDEX(products!$A$1:$G$49,MATCH(orders!$D193,products!$A$1:$A$49,0),MATCH(orders!L$1,products!$A$1:$G$1,0))</f>
        <v>3.8849999999999998</v>
      </c>
      <c r="M193" s="10">
        <f t="shared" si="6"/>
        <v>19.424999999999997</v>
      </c>
      <c r="N193" t="str">
        <f t="shared" si="7"/>
        <v>Liberica</v>
      </c>
      <c r="O193" t="str">
        <f t="shared" si="8"/>
        <v>Dark</v>
      </c>
      <c r="P193" t="str">
        <f>_xlfn.XLOOKUP(Table1[[#This Row],[Customer ID]],customers!$A$1:$A$1001,customers!$I$1:$I$1001,,0)</f>
        <v>Yes</v>
      </c>
    </row>
    <row r="194" spans="1:16" x14ac:dyDescent="0.25">
      <c r="A194" s="2" t="s">
        <v>1573</v>
      </c>
      <c r="B194" s="8">
        <v>43919</v>
      </c>
      <c r="C194" s="2" t="s">
        <v>1574</v>
      </c>
      <c r="D194" t="s">
        <v>6183</v>
      </c>
      <c r="E194" s="2">
        <v>6</v>
      </c>
      <c r="F194" s="2" t="str">
        <f>_xlfn.XLOOKUP(orders!C194,customers!$A$1:$A$1001,customers!$B$1:$B$1001,,0)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9">
        <f>INDEX(products!$A$1:$G$49,MATCH(orders!$D194,products!$A$1:$A$49,0),MATCH(orders!K$1,products!$A$1:$G$1,0))</f>
        <v>1</v>
      </c>
      <c r="L194" s="10">
        <f>INDEX(products!$A$1:$G$49,MATCH(orders!$D194,products!$A$1:$A$49,0),MATCH(orders!L$1,products!$A$1:$G$1,0))</f>
        <v>12.15</v>
      </c>
      <c r="M194" s="10">
        <f t="shared" si="6"/>
        <v>72.900000000000006</v>
      </c>
      <c r="N194" t="str">
        <f t="shared" si="7"/>
        <v>Excelsa</v>
      </c>
      <c r="O194" t="str">
        <f t="shared" si="8"/>
        <v>Dark</v>
      </c>
      <c r="P194" t="str">
        <f>_xlfn.XLOOKUP(Table1[[#This Row],[Customer ID]],customers!$A$1:$A$1001,customers!$I$1:$I$1001,,0)</f>
        <v>Yes</v>
      </c>
    </row>
    <row r="195" spans="1:16" x14ac:dyDescent="0.25">
      <c r="A195" s="2" t="s">
        <v>1579</v>
      </c>
      <c r="B195" s="8">
        <v>44644</v>
      </c>
      <c r="C195" s="2" t="s">
        <v>1580</v>
      </c>
      <c r="D195" t="s">
        <v>6171</v>
      </c>
      <c r="E195" s="2">
        <v>3</v>
      </c>
      <c r="F195" s="2" t="str">
        <f>_xlfn.XLOOKUP(orders!C195,customers!$A$1:$A$1001,customers!$B$1:$B$1001,,0)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9">
        <f>INDEX(products!$A$1:$G$49,MATCH(orders!$D195,products!$A$1:$A$49,0),MATCH(orders!K$1,products!$A$1:$G$1,0))</f>
        <v>1</v>
      </c>
      <c r="L195" s="10">
        <f>INDEX(products!$A$1:$G$49,MATCH(orders!$D195,products!$A$1:$A$49,0),MATCH(orders!L$1,products!$A$1:$G$1,0))</f>
        <v>14.85</v>
      </c>
      <c r="M195" s="10">
        <f t="shared" ref="M195:M258" si="9">L195*E195</f>
        <v>44.55</v>
      </c>
      <c r="N195" t="str">
        <f t="shared" ref="N195:N258" si="10">IF(I195="Rob", "Robusta", IF(I195="Exc","Excelsa", IF(I195="Ara","Arabica", IF(I195="Lib","Liberica",""))))</f>
        <v>Excelsa</v>
      </c>
      <c r="O195" t="str">
        <f t="shared" ref="O195:O258" si="11">IF(J195="M", "Medium", IF(J195="L","Light",IF(J195="D","Dark","")))</f>
        <v>Light</v>
      </c>
      <c r="P195" t="str">
        <f>_xlfn.XLOOKUP(Table1[[#This Row],[Customer ID]],customers!$A$1:$A$1001,customers!$I$1:$I$1001,,0)</f>
        <v>No</v>
      </c>
    </row>
    <row r="196" spans="1:16" x14ac:dyDescent="0.25">
      <c r="A196" s="2" t="s">
        <v>1584</v>
      </c>
      <c r="B196" s="8">
        <v>44398</v>
      </c>
      <c r="C196" s="2" t="s">
        <v>1585</v>
      </c>
      <c r="D196" t="s">
        <v>6144</v>
      </c>
      <c r="E196" s="2">
        <v>5</v>
      </c>
      <c r="F196" s="2" t="str">
        <f>_xlfn.XLOOKUP(orders!C196,customers!$A$1:$A$1001,customers!$B$1:$B$1001,,0)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9">
        <f>INDEX(products!$A$1:$G$49,MATCH(orders!$D196,products!$A$1:$A$49,0),MATCH(orders!K$1,products!$A$1:$G$1,0))</f>
        <v>0.5</v>
      </c>
      <c r="L196" s="10">
        <f>INDEX(products!$A$1:$G$49,MATCH(orders!$D196,products!$A$1:$A$49,0),MATCH(orders!L$1,products!$A$1:$G$1,0))</f>
        <v>7.29</v>
      </c>
      <c r="M196" s="10">
        <f t="shared" si="9"/>
        <v>36.450000000000003</v>
      </c>
      <c r="N196" t="str">
        <f t="shared" si="10"/>
        <v>Excelsa</v>
      </c>
      <c r="O196" t="str">
        <f t="shared" si="11"/>
        <v>Dark</v>
      </c>
      <c r="P196" t="str">
        <f>_xlfn.XLOOKUP(Table1[[#This Row],[Customer ID]],customers!$A$1:$A$1001,customers!$I$1:$I$1001,,0)</f>
        <v>No</v>
      </c>
    </row>
    <row r="197" spans="1:16" x14ac:dyDescent="0.25">
      <c r="A197" s="2" t="s">
        <v>1590</v>
      </c>
      <c r="B197" s="8">
        <v>43683</v>
      </c>
      <c r="C197" s="2" t="s">
        <v>1591</v>
      </c>
      <c r="D197" t="s">
        <v>6140</v>
      </c>
      <c r="E197" s="2">
        <v>3</v>
      </c>
      <c r="F197" s="2" t="str">
        <f>_xlfn.XLOOKUP(orders!C197,customers!$A$1:$A$1001,customers!$B$1:$B$1001,,0)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9">
        <f>INDEX(products!$A$1:$G$49,MATCH(orders!$D197,products!$A$1:$A$49,0),MATCH(orders!K$1,products!$A$1:$G$1,0))</f>
        <v>1</v>
      </c>
      <c r="L197" s="10">
        <f>INDEX(products!$A$1:$G$49,MATCH(orders!$D197,products!$A$1:$A$49,0),MATCH(orders!L$1,products!$A$1:$G$1,0))</f>
        <v>12.95</v>
      </c>
      <c r="M197" s="10">
        <f t="shared" si="9"/>
        <v>38.849999999999994</v>
      </c>
      <c r="N197" t="str">
        <f t="shared" si="10"/>
        <v>Arabica</v>
      </c>
      <c r="O197" t="str">
        <f t="shared" si="11"/>
        <v>Light</v>
      </c>
      <c r="P197" t="str">
        <f>_xlfn.XLOOKUP(Table1[[#This Row],[Customer ID]],customers!$A$1:$A$1001,customers!$I$1:$I$1001,,0)</f>
        <v>No</v>
      </c>
    </row>
    <row r="198" spans="1:16" x14ac:dyDescent="0.25">
      <c r="A198" s="2" t="s">
        <v>1596</v>
      </c>
      <c r="B198" s="8">
        <v>44339</v>
      </c>
      <c r="C198" s="2" t="s">
        <v>1597</v>
      </c>
      <c r="D198" t="s">
        <v>6176</v>
      </c>
      <c r="E198" s="2">
        <v>6</v>
      </c>
      <c r="F198" s="2" t="str">
        <f>_xlfn.XLOOKUP(orders!C198,customers!$A$1:$A$1001,customers!$B$1:$B$1001,,0)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9">
        <f>INDEX(products!$A$1:$G$49,MATCH(orders!$D198,products!$A$1:$A$49,0),MATCH(orders!K$1,products!$A$1:$G$1,0))</f>
        <v>0.5</v>
      </c>
      <c r="L198" s="10">
        <f>INDEX(products!$A$1:$G$49,MATCH(orders!$D198,products!$A$1:$A$49,0),MATCH(orders!L$1,products!$A$1:$G$1,0))</f>
        <v>8.91</v>
      </c>
      <c r="M198" s="10">
        <f t="shared" si="9"/>
        <v>53.46</v>
      </c>
      <c r="N198" t="str">
        <f t="shared" si="10"/>
        <v>Excelsa</v>
      </c>
      <c r="O198" t="str">
        <f t="shared" si="11"/>
        <v>Light</v>
      </c>
      <c r="P198" t="str">
        <f>_xlfn.XLOOKUP(Table1[[#This Row],[Customer ID]],customers!$A$1:$A$1001,customers!$I$1:$I$1001,,0)</f>
        <v>No</v>
      </c>
    </row>
    <row r="199" spans="1:16" x14ac:dyDescent="0.25">
      <c r="A199" s="2" t="s">
        <v>1596</v>
      </c>
      <c r="B199" s="8">
        <v>44339</v>
      </c>
      <c r="C199" s="2" t="s">
        <v>1597</v>
      </c>
      <c r="D199" t="s">
        <v>6165</v>
      </c>
      <c r="E199" s="2">
        <v>2</v>
      </c>
      <c r="F199" s="2" t="str">
        <f>_xlfn.XLOOKUP(orders!C199,customers!$A$1:$A$1001,customers!$B$1:$B$1001,,0)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9">
        <f>INDEX(products!$A$1:$G$49,MATCH(orders!$D199,products!$A$1:$A$49,0),MATCH(orders!K$1,products!$A$1:$G$1,0))</f>
        <v>2.5</v>
      </c>
      <c r="L199" s="10">
        <f>INDEX(products!$A$1:$G$49,MATCH(orders!$D199,products!$A$1:$A$49,0),MATCH(orders!L$1,products!$A$1:$G$1,0))</f>
        <v>29.784999999999997</v>
      </c>
      <c r="M199" s="10">
        <f t="shared" si="9"/>
        <v>59.569999999999993</v>
      </c>
      <c r="N199" t="str">
        <f t="shared" si="10"/>
        <v>Liberica</v>
      </c>
      <c r="O199" t="str">
        <f t="shared" si="11"/>
        <v>Dark</v>
      </c>
      <c r="P199" t="str">
        <f>_xlfn.XLOOKUP(Table1[[#This Row],[Customer ID]],customers!$A$1:$A$1001,customers!$I$1:$I$1001,,0)</f>
        <v>No</v>
      </c>
    </row>
    <row r="200" spans="1:16" x14ac:dyDescent="0.25">
      <c r="A200" s="2" t="s">
        <v>1596</v>
      </c>
      <c r="B200" s="8">
        <v>44339</v>
      </c>
      <c r="C200" s="2" t="s">
        <v>1597</v>
      </c>
      <c r="D200" t="s">
        <v>6165</v>
      </c>
      <c r="E200" s="2">
        <v>3</v>
      </c>
      <c r="F200" s="2" t="str">
        <f>_xlfn.XLOOKUP(orders!C200,customers!$A$1:$A$1001,customers!$B$1:$B$1001,,0)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9">
        <f>INDEX(products!$A$1:$G$49,MATCH(orders!$D200,products!$A$1:$A$49,0),MATCH(orders!K$1,products!$A$1:$G$1,0))</f>
        <v>2.5</v>
      </c>
      <c r="L200" s="10">
        <f>INDEX(products!$A$1:$G$49,MATCH(orders!$D200,products!$A$1:$A$49,0),MATCH(orders!L$1,products!$A$1:$G$1,0))</f>
        <v>29.784999999999997</v>
      </c>
      <c r="M200" s="10">
        <f t="shared" si="9"/>
        <v>89.35499999999999</v>
      </c>
      <c r="N200" t="str">
        <f t="shared" si="10"/>
        <v>Liberica</v>
      </c>
      <c r="O200" t="str">
        <f t="shared" si="11"/>
        <v>Dark</v>
      </c>
      <c r="P200" t="str">
        <f>_xlfn.XLOOKUP(Table1[[#This Row],[Customer ID]],customers!$A$1:$A$1001,customers!$I$1:$I$1001,,0)</f>
        <v>No</v>
      </c>
    </row>
    <row r="201" spans="1:16" x14ac:dyDescent="0.25">
      <c r="A201" s="2" t="s">
        <v>1596</v>
      </c>
      <c r="B201" s="8">
        <v>44339</v>
      </c>
      <c r="C201" s="2" t="s">
        <v>1597</v>
      </c>
      <c r="D201" t="s">
        <v>6161</v>
      </c>
      <c r="E201" s="2">
        <v>4</v>
      </c>
      <c r="F201" s="2" t="str">
        <f>_xlfn.XLOOKUP(orders!C201,customers!$A$1:$A$1001,customers!$B$1:$B$1001,,0)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9">
        <f>INDEX(products!$A$1:$G$49,MATCH(orders!$D201,products!$A$1:$A$49,0),MATCH(orders!K$1,products!$A$1:$G$1,0))</f>
        <v>0.5</v>
      </c>
      <c r="L201" s="10">
        <f>INDEX(products!$A$1:$G$49,MATCH(orders!$D201,products!$A$1:$A$49,0),MATCH(orders!L$1,products!$A$1:$G$1,0))</f>
        <v>9.51</v>
      </c>
      <c r="M201" s="10">
        <f t="shared" si="9"/>
        <v>38.04</v>
      </c>
      <c r="N201" t="str">
        <f t="shared" si="10"/>
        <v>Liberica</v>
      </c>
      <c r="O201" t="str">
        <f t="shared" si="11"/>
        <v>Light</v>
      </c>
      <c r="P201" t="str">
        <f>_xlfn.XLOOKUP(Table1[[#This Row],[Customer ID]],customers!$A$1:$A$1001,customers!$I$1:$I$1001,,0)</f>
        <v>No</v>
      </c>
    </row>
    <row r="202" spans="1:16" x14ac:dyDescent="0.25">
      <c r="A202" s="2" t="s">
        <v>1596</v>
      </c>
      <c r="B202" s="8">
        <v>44339</v>
      </c>
      <c r="C202" s="2" t="s">
        <v>1597</v>
      </c>
      <c r="D202" t="s">
        <v>6141</v>
      </c>
      <c r="E202" s="2">
        <v>3</v>
      </c>
      <c r="F202" s="2" t="str">
        <f>_xlfn.XLOOKUP(orders!C202,customers!$A$1:$A$1001,customers!$B$1:$B$1001,,0)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9">
        <f>INDEX(products!$A$1:$G$49,MATCH(orders!$D202,products!$A$1:$A$49,0),MATCH(orders!K$1,products!$A$1:$G$1,0))</f>
        <v>1</v>
      </c>
      <c r="L202" s="10">
        <f>INDEX(products!$A$1:$G$49,MATCH(orders!$D202,products!$A$1:$A$49,0),MATCH(orders!L$1,products!$A$1:$G$1,0))</f>
        <v>13.75</v>
      </c>
      <c r="M202" s="10">
        <f t="shared" si="9"/>
        <v>41.25</v>
      </c>
      <c r="N202" t="str">
        <f t="shared" si="10"/>
        <v>Excelsa</v>
      </c>
      <c r="O202" t="str">
        <f t="shared" si="11"/>
        <v>Medium</v>
      </c>
      <c r="P202" t="str">
        <f>_xlfn.XLOOKUP(Table1[[#This Row],[Customer ID]],customers!$A$1:$A$1001,customers!$I$1:$I$1001,,0)</f>
        <v>No</v>
      </c>
    </row>
    <row r="203" spans="1:16" x14ac:dyDescent="0.25">
      <c r="A203" s="2" t="s">
        <v>1621</v>
      </c>
      <c r="B203" s="8">
        <v>44294</v>
      </c>
      <c r="C203" s="2" t="s">
        <v>1622</v>
      </c>
      <c r="D203" t="s">
        <v>6161</v>
      </c>
      <c r="E203" s="2">
        <v>6</v>
      </c>
      <c r="F203" s="2" t="str">
        <f>_xlfn.XLOOKUP(orders!C203,customers!$A$1:$A$1001,customers!$B$1:$B$1001,,0)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9">
        <f>INDEX(products!$A$1:$G$49,MATCH(orders!$D203,products!$A$1:$A$49,0),MATCH(orders!K$1,products!$A$1:$G$1,0))</f>
        <v>0.5</v>
      </c>
      <c r="L203" s="10">
        <f>INDEX(products!$A$1:$G$49,MATCH(orders!$D203,products!$A$1:$A$49,0),MATCH(orders!L$1,products!$A$1:$G$1,0))</f>
        <v>9.51</v>
      </c>
      <c r="M203" s="10">
        <f t="shared" si="9"/>
        <v>57.06</v>
      </c>
      <c r="N203" t="str">
        <f t="shared" si="10"/>
        <v>Liberica</v>
      </c>
      <c r="O203" t="str">
        <f t="shared" si="11"/>
        <v>Light</v>
      </c>
      <c r="P203" t="str">
        <f>_xlfn.XLOOKUP(Table1[[#This Row],[Customer ID]],customers!$A$1:$A$1001,customers!$I$1:$I$1001,,0)</f>
        <v>No</v>
      </c>
    </row>
    <row r="204" spans="1:16" x14ac:dyDescent="0.25">
      <c r="A204" s="2" t="s">
        <v>1626</v>
      </c>
      <c r="B204" s="8">
        <v>44486</v>
      </c>
      <c r="C204" s="2" t="s">
        <v>1627</v>
      </c>
      <c r="D204" t="s">
        <v>6165</v>
      </c>
      <c r="E204" s="2">
        <v>6</v>
      </c>
      <c r="F204" s="2" t="str">
        <f>_xlfn.XLOOKUP(orders!C204,customers!$A$1:$A$1001,customers!$B$1:$B$1001,,0)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9">
        <f>INDEX(products!$A$1:$G$49,MATCH(orders!$D204,products!$A$1:$A$49,0),MATCH(orders!K$1,products!$A$1:$G$1,0))</f>
        <v>2.5</v>
      </c>
      <c r="L204" s="10">
        <f>INDEX(products!$A$1:$G$49,MATCH(orders!$D204,products!$A$1:$A$49,0),MATCH(orders!L$1,products!$A$1:$G$1,0))</f>
        <v>29.784999999999997</v>
      </c>
      <c r="M204" s="10">
        <f t="shared" si="9"/>
        <v>178.70999999999998</v>
      </c>
      <c r="N204" t="str">
        <f t="shared" si="10"/>
        <v>Liberica</v>
      </c>
      <c r="O204" t="str">
        <f t="shared" si="11"/>
        <v>Dark</v>
      </c>
      <c r="P204" t="str">
        <f>_xlfn.XLOOKUP(Table1[[#This Row],[Customer ID]],customers!$A$1:$A$1001,customers!$I$1:$I$1001,,0)</f>
        <v>Yes</v>
      </c>
    </row>
    <row r="205" spans="1:16" x14ac:dyDescent="0.25">
      <c r="A205" s="2" t="s">
        <v>1632</v>
      </c>
      <c r="B205" s="8">
        <v>44608</v>
      </c>
      <c r="C205" s="2" t="s">
        <v>1633</v>
      </c>
      <c r="D205" t="s">
        <v>6145</v>
      </c>
      <c r="E205" s="2">
        <v>1</v>
      </c>
      <c r="F205" s="2" t="str">
        <f>_xlfn.XLOOKUP(orders!C205,customers!$A$1:$A$1001,customers!$B$1:$B$1001,,0)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9">
        <f>INDEX(products!$A$1:$G$49,MATCH(orders!$D205,products!$A$1:$A$49,0),MATCH(orders!K$1,products!$A$1:$G$1,0))</f>
        <v>0.2</v>
      </c>
      <c r="L205" s="10">
        <f>INDEX(products!$A$1:$G$49,MATCH(orders!$D205,products!$A$1:$A$49,0),MATCH(orders!L$1,products!$A$1:$G$1,0))</f>
        <v>4.7549999999999999</v>
      </c>
      <c r="M205" s="10">
        <f t="shared" si="9"/>
        <v>4.7549999999999999</v>
      </c>
      <c r="N205" t="str">
        <f t="shared" si="10"/>
        <v>Liberica</v>
      </c>
      <c r="O205" t="str">
        <f t="shared" si="11"/>
        <v>Light</v>
      </c>
      <c r="P205" t="str">
        <f>_xlfn.XLOOKUP(Table1[[#This Row],[Customer ID]],customers!$A$1:$A$1001,customers!$I$1:$I$1001,,0)</f>
        <v>No</v>
      </c>
    </row>
    <row r="206" spans="1:16" x14ac:dyDescent="0.25">
      <c r="A206" s="2" t="s">
        <v>1638</v>
      </c>
      <c r="B206" s="8">
        <v>44027</v>
      </c>
      <c r="C206" s="2" t="s">
        <v>1639</v>
      </c>
      <c r="D206" t="s">
        <v>6141</v>
      </c>
      <c r="E206" s="2">
        <v>6</v>
      </c>
      <c r="F206" s="2" t="str">
        <f>_xlfn.XLOOKUP(orders!C206,customers!$A$1:$A$1001,customers!$B$1:$B$1001,,0)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9">
        <f>INDEX(products!$A$1:$G$49,MATCH(orders!$D206,products!$A$1:$A$49,0),MATCH(orders!K$1,products!$A$1:$G$1,0))</f>
        <v>1</v>
      </c>
      <c r="L206" s="10">
        <f>INDEX(products!$A$1:$G$49,MATCH(orders!$D206,products!$A$1:$A$49,0),MATCH(orders!L$1,products!$A$1:$G$1,0))</f>
        <v>13.75</v>
      </c>
      <c r="M206" s="10">
        <f t="shared" si="9"/>
        <v>82.5</v>
      </c>
      <c r="N206" t="str">
        <f t="shared" si="10"/>
        <v>Excelsa</v>
      </c>
      <c r="O206" t="str">
        <f t="shared" si="11"/>
        <v>Medium</v>
      </c>
      <c r="P206" t="str">
        <f>_xlfn.XLOOKUP(Table1[[#This Row],[Customer ID]],customers!$A$1:$A$1001,customers!$I$1:$I$1001,,0)</f>
        <v>No</v>
      </c>
    </row>
    <row r="207" spans="1:16" x14ac:dyDescent="0.25">
      <c r="A207" s="2" t="s">
        <v>1643</v>
      </c>
      <c r="B207" s="8">
        <v>43883</v>
      </c>
      <c r="C207" s="2" t="s">
        <v>1644</v>
      </c>
      <c r="D207" t="s">
        <v>6163</v>
      </c>
      <c r="E207" s="2">
        <v>3</v>
      </c>
      <c r="F207" s="2" t="str">
        <f>_xlfn.XLOOKUP(orders!C207,customers!$A$1:$A$1001,customers!$B$1:$B$1001,,0)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9">
        <f>INDEX(products!$A$1:$G$49,MATCH(orders!$D207,products!$A$1:$A$49,0),MATCH(orders!K$1,products!$A$1:$G$1,0))</f>
        <v>0.2</v>
      </c>
      <c r="L207" s="10">
        <f>INDEX(products!$A$1:$G$49,MATCH(orders!$D207,products!$A$1:$A$49,0),MATCH(orders!L$1,products!$A$1:$G$1,0))</f>
        <v>2.6849999999999996</v>
      </c>
      <c r="M207" s="10">
        <f t="shared" si="9"/>
        <v>8.0549999999999997</v>
      </c>
      <c r="N207" t="str">
        <f t="shared" si="10"/>
        <v>Robusta</v>
      </c>
      <c r="O207" t="str">
        <f t="shared" si="11"/>
        <v>Dark</v>
      </c>
      <c r="P207" t="str">
        <f>_xlfn.XLOOKUP(Table1[[#This Row],[Customer ID]],customers!$A$1:$A$1001,customers!$I$1:$I$1001,,0)</f>
        <v>Yes</v>
      </c>
    </row>
    <row r="208" spans="1:16" x14ac:dyDescent="0.25">
      <c r="A208" s="2" t="s">
        <v>1648</v>
      </c>
      <c r="B208" s="8">
        <v>44211</v>
      </c>
      <c r="C208" s="2" t="s">
        <v>1649</v>
      </c>
      <c r="D208" t="s">
        <v>6155</v>
      </c>
      <c r="E208" s="2">
        <v>2</v>
      </c>
      <c r="F208" s="2" t="str">
        <f>_xlfn.XLOOKUP(orders!C208,customers!$A$1:$A$1001,customers!$B$1:$B$1001,,0)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9">
        <f>INDEX(products!$A$1:$G$49,MATCH(orders!$D208,products!$A$1:$A$49,0),MATCH(orders!K$1,products!$A$1:$G$1,0))</f>
        <v>1</v>
      </c>
      <c r="L208" s="10">
        <f>INDEX(products!$A$1:$G$49,MATCH(orders!$D208,products!$A$1:$A$49,0),MATCH(orders!L$1,products!$A$1:$G$1,0))</f>
        <v>11.25</v>
      </c>
      <c r="M208" s="10">
        <f t="shared" si="9"/>
        <v>22.5</v>
      </c>
      <c r="N208" t="str">
        <f t="shared" si="10"/>
        <v>Arabica</v>
      </c>
      <c r="O208" t="str">
        <f t="shared" si="11"/>
        <v>Medium</v>
      </c>
      <c r="P208" t="str">
        <f>_xlfn.XLOOKUP(Table1[[#This Row],[Customer ID]],customers!$A$1:$A$1001,customers!$I$1:$I$1001,,0)</f>
        <v>No</v>
      </c>
    </row>
    <row r="209" spans="1:16" x14ac:dyDescent="0.25">
      <c r="A209" s="2" t="s">
        <v>1653</v>
      </c>
      <c r="B209" s="8">
        <v>44207</v>
      </c>
      <c r="C209" s="2" t="s">
        <v>1654</v>
      </c>
      <c r="D209" t="s">
        <v>6157</v>
      </c>
      <c r="E209" s="2">
        <v>6</v>
      </c>
      <c r="F209" s="2" t="str">
        <f>_xlfn.XLOOKUP(orders!C209,customers!$A$1:$A$1001,customers!$B$1:$B$1001,,0)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9">
        <f>INDEX(products!$A$1:$G$49,MATCH(orders!$D209,products!$A$1:$A$49,0),MATCH(orders!K$1,products!$A$1:$G$1,0))</f>
        <v>0.5</v>
      </c>
      <c r="L209" s="10">
        <f>INDEX(products!$A$1:$G$49,MATCH(orders!$D209,products!$A$1:$A$49,0),MATCH(orders!L$1,products!$A$1:$G$1,0))</f>
        <v>6.75</v>
      </c>
      <c r="M209" s="10">
        <f t="shared" si="9"/>
        <v>40.5</v>
      </c>
      <c r="N209" t="str">
        <f t="shared" si="10"/>
        <v>Arabica</v>
      </c>
      <c r="O209" t="str">
        <f t="shared" si="11"/>
        <v>Medium</v>
      </c>
      <c r="P209" t="str">
        <f>_xlfn.XLOOKUP(Table1[[#This Row],[Customer ID]],customers!$A$1:$A$1001,customers!$I$1:$I$1001,,0)</f>
        <v>Yes</v>
      </c>
    </row>
    <row r="210" spans="1:16" x14ac:dyDescent="0.25">
      <c r="A210" s="2" t="s">
        <v>1659</v>
      </c>
      <c r="B210" s="8">
        <v>44659</v>
      </c>
      <c r="C210" s="2" t="s">
        <v>1660</v>
      </c>
      <c r="D210" t="s">
        <v>6144</v>
      </c>
      <c r="E210" s="2">
        <v>4</v>
      </c>
      <c r="F210" s="2" t="str">
        <f>_xlfn.XLOOKUP(orders!C210,customers!$A$1:$A$1001,customers!$B$1:$B$1001,,0)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9">
        <f>INDEX(products!$A$1:$G$49,MATCH(orders!$D210,products!$A$1:$A$49,0),MATCH(orders!K$1,products!$A$1:$G$1,0))</f>
        <v>0.5</v>
      </c>
      <c r="L210" s="10">
        <f>INDEX(products!$A$1:$G$49,MATCH(orders!$D210,products!$A$1:$A$49,0),MATCH(orders!L$1,products!$A$1:$G$1,0))</f>
        <v>7.29</v>
      </c>
      <c r="M210" s="10">
        <f t="shared" si="9"/>
        <v>29.16</v>
      </c>
      <c r="N210" t="str">
        <f t="shared" si="10"/>
        <v>Excelsa</v>
      </c>
      <c r="O210" t="str">
        <f t="shared" si="11"/>
        <v>Dark</v>
      </c>
      <c r="P210" t="str">
        <f>_xlfn.XLOOKUP(Table1[[#This Row],[Customer ID]],customers!$A$1:$A$1001,customers!$I$1:$I$1001,,0)</f>
        <v>Yes</v>
      </c>
    </row>
    <row r="211" spans="1:16" x14ac:dyDescent="0.25">
      <c r="A211" s="2" t="s">
        <v>1665</v>
      </c>
      <c r="B211" s="8">
        <v>44105</v>
      </c>
      <c r="C211" s="2" t="s">
        <v>1666</v>
      </c>
      <c r="D211" t="s">
        <v>6157</v>
      </c>
      <c r="E211" s="2">
        <v>1</v>
      </c>
      <c r="F211" s="2" t="str">
        <f>_xlfn.XLOOKUP(orders!C211,customers!$A$1:$A$1001,customers!$B$1:$B$1001,,0)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9">
        <f>INDEX(products!$A$1:$G$49,MATCH(orders!$D211,products!$A$1:$A$49,0),MATCH(orders!K$1,products!$A$1:$G$1,0))</f>
        <v>0.5</v>
      </c>
      <c r="L211" s="10">
        <f>INDEX(products!$A$1:$G$49,MATCH(orders!$D211,products!$A$1:$A$49,0),MATCH(orders!L$1,products!$A$1:$G$1,0))</f>
        <v>6.75</v>
      </c>
      <c r="M211" s="10">
        <f t="shared" si="9"/>
        <v>6.75</v>
      </c>
      <c r="N211" t="str">
        <f t="shared" si="10"/>
        <v>Arabica</v>
      </c>
      <c r="O211" t="str">
        <f t="shared" si="11"/>
        <v>Medium</v>
      </c>
      <c r="P211" t="str">
        <f>_xlfn.XLOOKUP(Table1[[#This Row],[Customer ID]],customers!$A$1:$A$1001,customers!$I$1:$I$1001,,0)</f>
        <v>No</v>
      </c>
    </row>
    <row r="212" spans="1:16" x14ac:dyDescent="0.25">
      <c r="A212" s="2" t="s">
        <v>1671</v>
      </c>
      <c r="B212" s="8">
        <v>43766</v>
      </c>
      <c r="C212" s="2" t="s">
        <v>1672</v>
      </c>
      <c r="D212" t="s">
        <v>6143</v>
      </c>
      <c r="E212" s="2">
        <v>4</v>
      </c>
      <c r="F212" s="2" t="str">
        <f>_xlfn.XLOOKUP(orders!C212,customers!$A$1:$A$1001,customers!$B$1:$B$1001,,0)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9">
        <f>INDEX(products!$A$1:$G$49,MATCH(orders!$D212,products!$A$1:$A$49,0),MATCH(orders!K$1,products!$A$1:$G$1,0))</f>
        <v>1</v>
      </c>
      <c r="L212" s="10">
        <f>INDEX(products!$A$1:$G$49,MATCH(orders!$D212,products!$A$1:$A$49,0),MATCH(orders!L$1,products!$A$1:$G$1,0))</f>
        <v>12.95</v>
      </c>
      <c r="M212" s="10">
        <f t="shared" si="9"/>
        <v>51.8</v>
      </c>
      <c r="N212" t="str">
        <f t="shared" si="10"/>
        <v>Liberica</v>
      </c>
      <c r="O212" t="str">
        <f t="shared" si="11"/>
        <v>Dark</v>
      </c>
      <c r="P212" t="str">
        <f>_xlfn.XLOOKUP(Table1[[#This Row],[Customer ID]],customers!$A$1:$A$1001,customers!$I$1:$I$1001,,0)</f>
        <v>Yes</v>
      </c>
    </row>
    <row r="213" spans="1:16" x14ac:dyDescent="0.25">
      <c r="A213" s="2" t="s">
        <v>1677</v>
      </c>
      <c r="B213" s="8">
        <v>44283</v>
      </c>
      <c r="C213" s="2" t="s">
        <v>1678</v>
      </c>
      <c r="D213" t="s">
        <v>6176</v>
      </c>
      <c r="E213" s="2">
        <v>6</v>
      </c>
      <c r="F213" s="2" t="str">
        <f>_xlfn.XLOOKUP(orders!C213,customers!$A$1:$A$1001,customers!$B$1:$B$1001,,0)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9">
        <f>INDEX(products!$A$1:$G$49,MATCH(orders!$D213,products!$A$1:$A$49,0),MATCH(orders!K$1,products!$A$1:$G$1,0))</f>
        <v>0.5</v>
      </c>
      <c r="L213" s="10">
        <f>INDEX(products!$A$1:$G$49,MATCH(orders!$D213,products!$A$1:$A$49,0),MATCH(orders!L$1,products!$A$1:$G$1,0))</f>
        <v>8.91</v>
      </c>
      <c r="M213" s="10">
        <f t="shared" si="9"/>
        <v>53.46</v>
      </c>
      <c r="N213" t="str">
        <f t="shared" si="10"/>
        <v>Excelsa</v>
      </c>
      <c r="O213" t="str">
        <f t="shared" si="11"/>
        <v>Light</v>
      </c>
      <c r="P213" t="str">
        <f>_xlfn.XLOOKUP(Table1[[#This Row],[Customer ID]],customers!$A$1:$A$1001,customers!$I$1:$I$1001,,0)</f>
        <v>No</v>
      </c>
    </row>
    <row r="214" spans="1:16" x14ac:dyDescent="0.25">
      <c r="A214" s="2" t="s">
        <v>1682</v>
      </c>
      <c r="B214" s="8">
        <v>43921</v>
      </c>
      <c r="C214" s="2" t="s">
        <v>1683</v>
      </c>
      <c r="D214" t="s">
        <v>6153</v>
      </c>
      <c r="E214" s="2">
        <v>4</v>
      </c>
      <c r="F214" s="2" t="str">
        <f>_xlfn.XLOOKUP(orders!C214,customers!$A$1:$A$1001,customers!$B$1:$B$1001,,0)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9">
        <f>INDEX(products!$A$1:$G$49,MATCH(orders!$D214,products!$A$1:$A$49,0),MATCH(orders!K$1,products!$A$1:$G$1,0))</f>
        <v>0.2</v>
      </c>
      <c r="L214" s="10">
        <f>INDEX(products!$A$1:$G$49,MATCH(orders!$D214,products!$A$1:$A$49,0),MATCH(orders!L$1,products!$A$1:$G$1,0))</f>
        <v>3.645</v>
      </c>
      <c r="M214" s="10">
        <f t="shared" si="9"/>
        <v>14.58</v>
      </c>
      <c r="N214" t="str">
        <f t="shared" si="10"/>
        <v>Excelsa</v>
      </c>
      <c r="O214" t="str">
        <f t="shared" si="11"/>
        <v>Dark</v>
      </c>
      <c r="P214" t="str">
        <f>_xlfn.XLOOKUP(Table1[[#This Row],[Customer ID]],customers!$A$1:$A$1001,customers!$I$1:$I$1001,,0)</f>
        <v>Yes</v>
      </c>
    </row>
    <row r="215" spans="1:16" x14ac:dyDescent="0.25">
      <c r="A215" s="2" t="s">
        <v>1688</v>
      </c>
      <c r="B215" s="8">
        <v>44646</v>
      </c>
      <c r="C215" s="2" t="s">
        <v>1689</v>
      </c>
      <c r="D215" t="s">
        <v>6149</v>
      </c>
      <c r="E215" s="2">
        <v>1</v>
      </c>
      <c r="F215" s="2" t="str">
        <f>_xlfn.XLOOKUP(orders!C215,customers!$A$1:$A$1001,customers!$B$1:$B$1001,,0)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9">
        <f>INDEX(products!$A$1:$G$49,MATCH(orders!$D215,products!$A$1:$A$49,0),MATCH(orders!K$1,products!$A$1:$G$1,0))</f>
        <v>2.5</v>
      </c>
      <c r="L215" s="10">
        <f>INDEX(products!$A$1:$G$49,MATCH(orders!$D215,products!$A$1:$A$49,0),MATCH(orders!L$1,products!$A$1:$G$1,0))</f>
        <v>20.584999999999997</v>
      </c>
      <c r="M215" s="10">
        <f t="shared" si="9"/>
        <v>20.584999999999997</v>
      </c>
      <c r="N215" t="str">
        <f t="shared" si="10"/>
        <v>Robusta</v>
      </c>
      <c r="O215" t="str">
        <f t="shared" si="11"/>
        <v>Dark</v>
      </c>
      <c r="P215" t="str">
        <f>_xlfn.XLOOKUP(Table1[[#This Row],[Customer ID]],customers!$A$1:$A$1001,customers!$I$1:$I$1001,,0)</f>
        <v>No</v>
      </c>
    </row>
    <row r="216" spans="1:16" x14ac:dyDescent="0.25">
      <c r="A216" s="2" t="s">
        <v>1694</v>
      </c>
      <c r="B216" s="8">
        <v>43775</v>
      </c>
      <c r="C216" s="2" t="s">
        <v>1695</v>
      </c>
      <c r="D216" t="s">
        <v>6170</v>
      </c>
      <c r="E216" s="2">
        <v>2</v>
      </c>
      <c r="F216" s="2" t="str">
        <f>_xlfn.XLOOKUP(orders!C216,customers!$A$1:$A$1001,customers!$B$1:$B$1001,,0)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9">
        <f>INDEX(products!$A$1:$G$49,MATCH(orders!$D216,products!$A$1:$A$49,0),MATCH(orders!K$1,products!$A$1:$G$1,0))</f>
        <v>1</v>
      </c>
      <c r="L216" s="10">
        <f>INDEX(products!$A$1:$G$49,MATCH(orders!$D216,products!$A$1:$A$49,0),MATCH(orders!L$1,products!$A$1:$G$1,0))</f>
        <v>15.85</v>
      </c>
      <c r="M216" s="10">
        <f t="shared" si="9"/>
        <v>31.7</v>
      </c>
      <c r="N216" t="str">
        <f t="shared" si="10"/>
        <v>Liberica</v>
      </c>
      <c r="O216" t="str">
        <f t="shared" si="11"/>
        <v>Light</v>
      </c>
      <c r="P216" t="str">
        <f>_xlfn.XLOOKUP(Table1[[#This Row],[Customer ID]],customers!$A$1:$A$1001,customers!$I$1:$I$1001,,0)</f>
        <v>No</v>
      </c>
    </row>
    <row r="217" spans="1:16" x14ac:dyDescent="0.25">
      <c r="A217" s="2" t="s">
        <v>1701</v>
      </c>
      <c r="B217" s="8">
        <v>43829</v>
      </c>
      <c r="C217" s="2" t="s">
        <v>1702</v>
      </c>
      <c r="D217" t="s">
        <v>6150</v>
      </c>
      <c r="E217" s="2">
        <v>6</v>
      </c>
      <c r="F217" s="2" t="str">
        <f>_xlfn.XLOOKUP(orders!C217,customers!$A$1:$A$1001,customers!$B$1:$B$1001,,0)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9">
        <f>INDEX(products!$A$1:$G$49,MATCH(orders!$D217,products!$A$1:$A$49,0),MATCH(orders!K$1,products!$A$1:$G$1,0))</f>
        <v>0.2</v>
      </c>
      <c r="L217" s="10">
        <f>INDEX(products!$A$1:$G$49,MATCH(orders!$D217,products!$A$1:$A$49,0),MATCH(orders!L$1,products!$A$1:$G$1,0))</f>
        <v>3.8849999999999998</v>
      </c>
      <c r="M217" s="10">
        <f t="shared" si="9"/>
        <v>23.31</v>
      </c>
      <c r="N217" t="str">
        <f t="shared" si="10"/>
        <v>Liberica</v>
      </c>
      <c r="O217" t="str">
        <f t="shared" si="11"/>
        <v>Dark</v>
      </c>
      <c r="P217" t="str">
        <f>_xlfn.XLOOKUP(Table1[[#This Row],[Customer ID]],customers!$A$1:$A$1001,customers!$I$1:$I$1001,,0)</f>
        <v>No</v>
      </c>
    </row>
    <row r="218" spans="1:16" x14ac:dyDescent="0.25">
      <c r="A218" s="2" t="s">
        <v>1707</v>
      </c>
      <c r="B218" s="8">
        <v>44470</v>
      </c>
      <c r="C218" s="2" t="s">
        <v>1708</v>
      </c>
      <c r="D218" t="s">
        <v>6162</v>
      </c>
      <c r="E218" s="2">
        <v>4</v>
      </c>
      <c r="F218" s="2" t="str">
        <f>_xlfn.XLOOKUP(orders!C218,customers!$A$1:$A$1001,customers!$B$1:$B$1001,,0)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9">
        <f>INDEX(products!$A$1:$G$49,MATCH(orders!$D218,products!$A$1:$A$49,0),MATCH(orders!K$1,products!$A$1:$G$1,0))</f>
        <v>1</v>
      </c>
      <c r="L218" s="10">
        <f>INDEX(products!$A$1:$G$49,MATCH(orders!$D218,products!$A$1:$A$49,0),MATCH(orders!L$1,products!$A$1:$G$1,0))</f>
        <v>14.55</v>
      </c>
      <c r="M218" s="10">
        <f t="shared" si="9"/>
        <v>58.2</v>
      </c>
      <c r="N218" t="str">
        <f t="shared" si="10"/>
        <v>Liberica</v>
      </c>
      <c r="O218" t="str">
        <f t="shared" si="11"/>
        <v>Medium</v>
      </c>
      <c r="P218" t="str">
        <f>_xlfn.XLOOKUP(Table1[[#This Row],[Customer ID]],customers!$A$1:$A$1001,customers!$I$1:$I$1001,,0)</f>
        <v>Yes</v>
      </c>
    </row>
    <row r="219" spans="1:16" x14ac:dyDescent="0.25">
      <c r="A219" s="2" t="s">
        <v>1713</v>
      </c>
      <c r="B219" s="8">
        <v>44174</v>
      </c>
      <c r="C219" s="2" t="s">
        <v>1714</v>
      </c>
      <c r="D219" t="s">
        <v>6176</v>
      </c>
      <c r="E219" s="2">
        <v>4</v>
      </c>
      <c r="F219" s="2" t="str">
        <f>_xlfn.XLOOKUP(orders!C219,customers!$A$1:$A$1001,customers!$B$1:$B$1001,,0)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9">
        <f>INDEX(products!$A$1:$G$49,MATCH(orders!$D219,products!$A$1:$A$49,0),MATCH(orders!K$1,products!$A$1:$G$1,0))</f>
        <v>0.5</v>
      </c>
      <c r="L219" s="10">
        <f>INDEX(products!$A$1:$G$49,MATCH(orders!$D219,products!$A$1:$A$49,0),MATCH(orders!L$1,products!$A$1:$G$1,0))</f>
        <v>8.91</v>
      </c>
      <c r="M219" s="10">
        <f t="shared" si="9"/>
        <v>35.64</v>
      </c>
      <c r="N219" t="str">
        <f t="shared" si="10"/>
        <v>Excelsa</v>
      </c>
      <c r="O219" t="str">
        <f t="shared" si="11"/>
        <v>Light</v>
      </c>
      <c r="P219" t="str">
        <f>_xlfn.XLOOKUP(Table1[[#This Row],[Customer ID]],customers!$A$1:$A$1001,customers!$I$1:$I$1001,,0)</f>
        <v>No</v>
      </c>
    </row>
    <row r="220" spans="1:16" x14ac:dyDescent="0.25">
      <c r="A220" s="2" t="s">
        <v>1719</v>
      </c>
      <c r="B220" s="8">
        <v>44317</v>
      </c>
      <c r="C220" s="2" t="s">
        <v>1720</v>
      </c>
      <c r="D220" t="s">
        <v>6155</v>
      </c>
      <c r="E220" s="2">
        <v>5</v>
      </c>
      <c r="F220" s="2" t="str">
        <f>_xlfn.XLOOKUP(orders!C220,customers!$A$1:$A$1001,customers!$B$1:$B$1001,,0)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9">
        <f>INDEX(products!$A$1:$G$49,MATCH(orders!$D220,products!$A$1:$A$49,0),MATCH(orders!K$1,products!$A$1:$G$1,0))</f>
        <v>1</v>
      </c>
      <c r="L220" s="10">
        <f>INDEX(products!$A$1:$G$49,MATCH(orders!$D220,products!$A$1:$A$49,0),MATCH(orders!L$1,products!$A$1:$G$1,0))</f>
        <v>11.25</v>
      </c>
      <c r="M220" s="10">
        <f t="shared" si="9"/>
        <v>56.25</v>
      </c>
      <c r="N220" t="str">
        <f t="shared" si="10"/>
        <v>Arabica</v>
      </c>
      <c r="O220" t="str">
        <f t="shared" si="11"/>
        <v>Medium</v>
      </c>
      <c r="P220" t="str">
        <f>_xlfn.XLOOKUP(Table1[[#This Row],[Customer ID]],customers!$A$1:$A$1001,customers!$I$1:$I$1001,,0)</f>
        <v>Yes</v>
      </c>
    </row>
    <row r="221" spans="1:16" x14ac:dyDescent="0.25">
      <c r="A221" s="2" t="s">
        <v>1725</v>
      </c>
      <c r="B221" s="8">
        <v>44777</v>
      </c>
      <c r="C221" s="2" t="s">
        <v>1726</v>
      </c>
      <c r="D221" t="s">
        <v>6178</v>
      </c>
      <c r="E221" s="2">
        <v>3</v>
      </c>
      <c r="F221" s="2" t="str">
        <f>_xlfn.XLOOKUP(orders!C221,customers!$A$1:$A$1001,customers!$B$1:$B$1001,,0)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9">
        <f>INDEX(products!$A$1:$G$49,MATCH(orders!$D221,products!$A$1:$A$49,0),MATCH(orders!K$1,products!$A$1:$G$1,0))</f>
        <v>0.2</v>
      </c>
      <c r="L221" s="10">
        <f>INDEX(products!$A$1:$G$49,MATCH(orders!$D221,products!$A$1:$A$49,0),MATCH(orders!L$1,products!$A$1:$G$1,0))</f>
        <v>3.5849999999999995</v>
      </c>
      <c r="M221" s="10">
        <f t="shared" si="9"/>
        <v>10.754999999999999</v>
      </c>
      <c r="N221" t="str">
        <f t="shared" si="10"/>
        <v>Robusta</v>
      </c>
      <c r="O221" t="str">
        <f t="shared" si="11"/>
        <v>Light</v>
      </c>
      <c r="P221" t="str">
        <f>_xlfn.XLOOKUP(Table1[[#This Row],[Customer ID]],customers!$A$1:$A$1001,customers!$I$1:$I$1001,,0)</f>
        <v>No</v>
      </c>
    </row>
    <row r="222" spans="1:16" x14ac:dyDescent="0.25">
      <c r="A222" s="2" t="s">
        <v>1725</v>
      </c>
      <c r="B222" s="8">
        <v>44777</v>
      </c>
      <c r="C222" s="2" t="s">
        <v>1726</v>
      </c>
      <c r="D222" t="s">
        <v>6174</v>
      </c>
      <c r="E222" s="2">
        <v>5</v>
      </c>
      <c r="F222" s="2" t="str">
        <f>_xlfn.XLOOKUP(orders!C222,customers!$A$1:$A$1001,customers!$B$1:$B$1001,,0)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9">
        <f>INDEX(products!$A$1:$G$49,MATCH(orders!$D222,products!$A$1:$A$49,0),MATCH(orders!K$1,products!$A$1:$G$1,0))</f>
        <v>0.2</v>
      </c>
      <c r="L222" s="10">
        <f>INDEX(products!$A$1:$G$49,MATCH(orders!$D222,products!$A$1:$A$49,0),MATCH(orders!L$1,products!$A$1:$G$1,0))</f>
        <v>2.9849999999999999</v>
      </c>
      <c r="M222" s="10">
        <f t="shared" si="9"/>
        <v>14.924999999999999</v>
      </c>
      <c r="N222" t="str">
        <f t="shared" si="10"/>
        <v>Robusta</v>
      </c>
      <c r="O222" t="str">
        <f t="shared" si="11"/>
        <v>Medium</v>
      </c>
      <c r="P222" t="str">
        <f>_xlfn.XLOOKUP(Table1[[#This Row],[Customer ID]],customers!$A$1:$A$1001,customers!$I$1:$I$1001,,0)</f>
        <v>No</v>
      </c>
    </row>
    <row r="223" spans="1:16" x14ac:dyDescent="0.25">
      <c r="A223" s="2" t="s">
        <v>1736</v>
      </c>
      <c r="B223" s="8">
        <v>44513</v>
      </c>
      <c r="C223" s="2" t="s">
        <v>1737</v>
      </c>
      <c r="D223" t="s">
        <v>6140</v>
      </c>
      <c r="E223" s="2">
        <v>6</v>
      </c>
      <c r="F223" s="2" t="str">
        <f>_xlfn.XLOOKUP(orders!C223,customers!$A$1:$A$1001,customers!$B$1:$B$1001,,0)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9">
        <f>INDEX(products!$A$1:$G$49,MATCH(orders!$D223,products!$A$1:$A$49,0),MATCH(orders!K$1,products!$A$1:$G$1,0))</f>
        <v>1</v>
      </c>
      <c r="L223" s="10">
        <f>INDEX(products!$A$1:$G$49,MATCH(orders!$D223,products!$A$1:$A$49,0),MATCH(orders!L$1,products!$A$1:$G$1,0))</f>
        <v>12.95</v>
      </c>
      <c r="M223" s="10">
        <f t="shared" si="9"/>
        <v>77.699999999999989</v>
      </c>
      <c r="N223" t="str">
        <f t="shared" si="10"/>
        <v>Arabica</v>
      </c>
      <c r="O223" t="str">
        <f t="shared" si="11"/>
        <v>Light</v>
      </c>
      <c r="P223" t="str">
        <f>_xlfn.XLOOKUP(Table1[[#This Row],[Customer ID]],customers!$A$1:$A$1001,customers!$I$1:$I$1001,,0)</f>
        <v>Yes</v>
      </c>
    </row>
    <row r="224" spans="1:16" x14ac:dyDescent="0.25">
      <c r="A224" s="2" t="s">
        <v>1742</v>
      </c>
      <c r="B224" s="8">
        <v>44090</v>
      </c>
      <c r="C224" s="2" t="s">
        <v>1743</v>
      </c>
      <c r="D224" t="s">
        <v>6169</v>
      </c>
      <c r="E224" s="2">
        <v>3</v>
      </c>
      <c r="F224" s="2" t="str">
        <f>_xlfn.XLOOKUP(orders!C224,customers!$A$1:$A$1001,customers!$B$1:$B$1001,,0)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9">
        <f>INDEX(products!$A$1:$G$49,MATCH(orders!$D224,products!$A$1:$A$49,0),MATCH(orders!K$1,products!$A$1:$G$1,0))</f>
        <v>0.5</v>
      </c>
      <c r="L224" s="10">
        <f>INDEX(products!$A$1:$G$49,MATCH(orders!$D224,products!$A$1:$A$49,0),MATCH(orders!L$1,products!$A$1:$G$1,0))</f>
        <v>7.77</v>
      </c>
      <c r="M224" s="10">
        <f t="shared" si="9"/>
        <v>23.31</v>
      </c>
      <c r="N224" t="str">
        <f t="shared" si="10"/>
        <v>Liberica</v>
      </c>
      <c r="O224" t="str">
        <f t="shared" si="11"/>
        <v>Dark</v>
      </c>
      <c r="P224" t="str">
        <f>_xlfn.XLOOKUP(Table1[[#This Row],[Customer ID]],customers!$A$1:$A$1001,customers!$I$1:$I$1001,,0)</f>
        <v>No</v>
      </c>
    </row>
    <row r="225" spans="1:16" x14ac:dyDescent="0.25">
      <c r="A225" s="2" t="s">
        <v>1748</v>
      </c>
      <c r="B225" s="8">
        <v>44109</v>
      </c>
      <c r="C225" s="2" t="s">
        <v>1749</v>
      </c>
      <c r="D225" t="s">
        <v>6171</v>
      </c>
      <c r="E225" s="2">
        <v>4</v>
      </c>
      <c r="F225" s="2" t="str">
        <f>_xlfn.XLOOKUP(orders!C225,customers!$A$1:$A$1001,customers!$B$1:$B$1001,,0)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9">
        <f>INDEX(products!$A$1:$G$49,MATCH(orders!$D225,products!$A$1:$A$49,0),MATCH(orders!K$1,products!$A$1:$G$1,0))</f>
        <v>1</v>
      </c>
      <c r="L225" s="10">
        <f>INDEX(products!$A$1:$G$49,MATCH(orders!$D225,products!$A$1:$A$49,0),MATCH(orders!L$1,products!$A$1:$G$1,0))</f>
        <v>14.85</v>
      </c>
      <c r="M225" s="10">
        <f t="shared" si="9"/>
        <v>59.4</v>
      </c>
      <c r="N225" t="str">
        <f t="shared" si="10"/>
        <v>Excelsa</v>
      </c>
      <c r="O225" t="str">
        <f t="shared" si="11"/>
        <v>Light</v>
      </c>
      <c r="P225" t="str">
        <f>_xlfn.XLOOKUP(Table1[[#This Row],[Customer ID]],customers!$A$1:$A$1001,customers!$I$1:$I$1001,,0)</f>
        <v>Yes</v>
      </c>
    </row>
    <row r="226" spans="1:16" x14ac:dyDescent="0.25">
      <c r="A226" s="2" t="s">
        <v>1753</v>
      </c>
      <c r="B226" s="8">
        <v>43836</v>
      </c>
      <c r="C226" s="2" t="s">
        <v>1754</v>
      </c>
      <c r="D226" t="s">
        <v>6165</v>
      </c>
      <c r="E226" s="2">
        <v>4</v>
      </c>
      <c r="F226" s="2" t="str">
        <f>_xlfn.XLOOKUP(orders!C226,customers!$A$1:$A$1001,customers!$B$1:$B$1001,,0)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9">
        <f>INDEX(products!$A$1:$G$49,MATCH(orders!$D226,products!$A$1:$A$49,0),MATCH(orders!K$1,products!$A$1:$G$1,0))</f>
        <v>2.5</v>
      </c>
      <c r="L226" s="10">
        <f>INDEX(products!$A$1:$G$49,MATCH(orders!$D226,products!$A$1:$A$49,0),MATCH(orders!L$1,products!$A$1:$G$1,0))</f>
        <v>29.784999999999997</v>
      </c>
      <c r="M226" s="10">
        <f t="shared" si="9"/>
        <v>119.13999999999999</v>
      </c>
      <c r="N226" t="str">
        <f t="shared" si="10"/>
        <v>Liberica</v>
      </c>
      <c r="O226" t="str">
        <f t="shared" si="11"/>
        <v>Dark</v>
      </c>
      <c r="P226" t="str">
        <f>_xlfn.XLOOKUP(Table1[[#This Row],[Customer ID]],customers!$A$1:$A$1001,customers!$I$1:$I$1001,,0)</f>
        <v>Yes</v>
      </c>
    </row>
    <row r="227" spans="1:16" x14ac:dyDescent="0.25">
      <c r="A227" s="2" t="s">
        <v>1759</v>
      </c>
      <c r="B227" s="8">
        <v>44337</v>
      </c>
      <c r="C227" s="2" t="s">
        <v>1760</v>
      </c>
      <c r="D227" t="s">
        <v>6178</v>
      </c>
      <c r="E227" s="2">
        <v>4</v>
      </c>
      <c r="F227" s="2" t="str">
        <f>_xlfn.XLOOKUP(orders!C227,customers!$A$1:$A$1001,customers!$B$1:$B$1001,,0)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9">
        <f>INDEX(products!$A$1:$G$49,MATCH(orders!$D227,products!$A$1:$A$49,0),MATCH(orders!K$1,products!$A$1:$G$1,0))</f>
        <v>0.2</v>
      </c>
      <c r="L227" s="10">
        <f>INDEX(products!$A$1:$G$49,MATCH(orders!$D227,products!$A$1:$A$49,0),MATCH(orders!L$1,products!$A$1:$G$1,0))</f>
        <v>3.5849999999999995</v>
      </c>
      <c r="M227" s="10">
        <f t="shared" si="9"/>
        <v>14.339999999999998</v>
      </c>
      <c r="N227" t="str">
        <f t="shared" si="10"/>
        <v>Robusta</v>
      </c>
      <c r="O227" t="str">
        <f t="shared" si="11"/>
        <v>Light</v>
      </c>
      <c r="P227" t="str">
        <f>_xlfn.XLOOKUP(Table1[[#This Row],[Customer ID]],customers!$A$1:$A$1001,customers!$I$1:$I$1001,,0)</f>
        <v>No</v>
      </c>
    </row>
    <row r="228" spans="1:16" x14ac:dyDescent="0.25">
      <c r="A228" s="2" t="s">
        <v>1765</v>
      </c>
      <c r="B228" s="8">
        <v>43887</v>
      </c>
      <c r="C228" s="2" t="s">
        <v>1766</v>
      </c>
      <c r="D228" t="s">
        <v>6175</v>
      </c>
      <c r="E228" s="2">
        <v>5</v>
      </c>
      <c r="F228" s="2" t="str">
        <f>_xlfn.XLOOKUP(orders!C228,customers!$A$1:$A$1001,customers!$B$1:$B$1001,,0)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9">
        <f>INDEX(products!$A$1:$G$49,MATCH(orders!$D228,products!$A$1:$A$49,0),MATCH(orders!K$1,products!$A$1:$G$1,0))</f>
        <v>2.5</v>
      </c>
      <c r="L228" s="10">
        <f>INDEX(products!$A$1:$G$49,MATCH(orders!$D228,products!$A$1:$A$49,0),MATCH(orders!L$1,products!$A$1:$G$1,0))</f>
        <v>25.874999999999996</v>
      </c>
      <c r="M228" s="10">
        <f t="shared" si="9"/>
        <v>129.37499999999997</v>
      </c>
      <c r="N228" t="str">
        <f t="shared" si="10"/>
        <v>Arabica</v>
      </c>
      <c r="O228" t="str">
        <f t="shared" si="11"/>
        <v>Medium</v>
      </c>
      <c r="P228" t="str">
        <f>_xlfn.XLOOKUP(Table1[[#This Row],[Customer ID]],customers!$A$1:$A$1001,customers!$I$1:$I$1001,,0)</f>
        <v>No</v>
      </c>
    </row>
    <row r="229" spans="1:16" x14ac:dyDescent="0.25">
      <c r="A229" s="2" t="s">
        <v>1771</v>
      </c>
      <c r="B229" s="8">
        <v>43880</v>
      </c>
      <c r="C229" s="2" t="s">
        <v>1772</v>
      </c>
      <c r="D229" t="s">
        <v>6163</v>
      </c>
      <c r="E229" s="2">
        <v>6</v>
      </c>
      <c r="F229" s="2" t="str">
        <f>_xlfn.XLOOKUP(orders!C229,customers!$A$1:$A$1001,customers!$B$1:$B$1001,,0)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9">
        <f>INDEX(products!$A$1:$G$49,MATCH(orders!$D229,products!$A$1:$A$49,0),MATCH(orders!K$1,products!$A$1:$G$1,0))</f>
        <v>0.2</v>
      </c>
      <c r="L229" s="10">
        <f>INDEX(products!$A$1:$G$49,MATCH(orders!$D229,products!$A$1:$A$49,0),MATCH(orders!L$1,products!$A$1:$G$1,0))</f>
        <v>2.6849999999999996</v>
      </c>
      <c r="M229" s="10">
        <f t="shared" si="9"/>
        <v>16.11</v>
      </c>
      <c r="N229" t="str">
        <f t="shared" si="10"/>
        <v>Robusta</v>
      </c>
      <c r="O229" t="str">
        <f t="shared" si="11"/>
        <v>Dark</v>
      </c>
      <c r="P229" t="str">
        <f>_xlfn.XLOOKUP(Table1[[#This Row],[Customer ID]],customers!$A$1:$A$1001,customers!$I$1:$I$1001,,0)</f>
        <v>Yes</v>
      </c>
    </row>
    <row r="230" spans="1:16" x14ac:dyDescent="0.25">
      <c r="A230" s="2" t="s">
        <v>1777</v>
      </c>
      <c r="B230" s="8">
        <v>44376</v>
      </c>
      <c r="C230" s="2" t="s">
        <v>1778</v>
      </c>
      <c r="D230" t="s">
        <v>6178</v>
      </c>
      <c r="E230" s="2">
        <v>5</v>
      </c>
      <c r="F230" s="2" t="str">
        <f>_xlfn.XLOOKUP(orders!C230,customers!$A$1:$A$1001,customers!$B$1:$B$1001,,0)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9">
        <f>INDEX(products!$A$1:$G$49,MATCH(orders!$D230,products!$A$1:$A$49,0),MATCH(orders!K$1,products!$A$1:$G$1,0))</f>
        <v>0.2</v>
      </c>
      <c r="L230" s="10">
        <f>INDEX(products!$A$1:$G$49,MATCH(orders!$D230,products!$A$1:$A$49,0),MATCH(orders!L$1,products!$A$1:$G$1,0))</f>
        <v>3.5849999999999995</v>
      </c>
      <c r="M230" s="10">
        <f t="shared" si="9"/>
        <v>17.924999999999997</v>
      </c>
      <c r="N230" t="str">
        <f t="shared" si="10"/>
        <v>Robusta</v>
      </c>
      <c r="O230" t="str">
        <f t="shared" si="11"/>
        <v>Light</v>
      </c>
      <c r="P230" t="str">
        <f>_xlfn.XLOOKUP(Table1[[#This Row],[Customer ID]],customers!$A$1:$A$1001,customers!$I$1:$I$1001,,0)</f>
        <v>No</v>
      </c>
    </row>
    <row r="231" spans="1:16" x14ac:dyDescent="0.25">
      <c r="A231" s="2" t="s">
        <v>1783</v>
      </c>
      <c r="B231" s="8">
        <v>44282</v>
      </c>
      <c r="C231" s="2" t="s">
        <v>1784</v>
      </c>
      <c r="D231" t="s">
        <v>6159</v>
      </c>
      <c r="E231" s="2">
        <v>2</v>
      </c>
      <c r="F231" s="2" t="str">
        <f>_xlfn.XLOOKUP(orders!C231,customers!$A$1:$A$1001,customers!$B$1:$B$1001,,0)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9">
        <f>INDEX(products!$A$1:$G$49,MATCH(orders!$D231,products!$A$1:$A$49,0),MATCH(orders!K$1,products!$A$1:$G$1,0))</f>
        <v>0.2</v>
      </c>
      <c r="L231" s="10">
        <f>INDEX(products!$A$1:$G$49,MATCH(orders!$D231,products!$A$1:$A$49,0),MATCH(orders!L$1,products!$A$1:$G$1,0))</f>
        <v>4.3650000000000002</v>
      </c>
      <c r="M231" s="10">
        <f t="shared" si="9"/>
        <v>8.73</v>
      </c>
      <c r="N231" t="str">
        <f t="shared" si="10"/>
        <v>Liberica</v>
      </c>
      <c r="O231" t="str">
        <f t="shared" si="11"/>
        <v>Medium</v>
      </c>
      <c r="P231" t="str">
        <f>_xlfn.XLOOKUP(Table1[[#This Row],[Customer ID]],customers!$A$1:$A$1001,customers!$I$1:$I$1001,,0)</f>
        <v>No</v>
      </c>
    </row>
    <row r="232" spans="1:16" x14ac:dyDescent="0.25">
      <c r="A232" s="2" t="s">
        <v>1789</v>
      </c>
      <c r="B232" s="8">
        <v>44496</v>
      </c>
      <c r="C232" s="2" t="s">
        <v>1790</v>
      </c>
      <c r="D232" t="s">
        <v>6175</v>
      </c>
      <c r="E232" s="2">
        <v>2</v>
      </c>
      <c r="F232" s="2" t="str">
        <f>_xlfn.XLOOKUP(orders!C232,customers!$A$1:$A$1001,customers!$B$1:$B$1001,,0)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9">
        <f>INDEX(products!$A$1:$G$49,MATCH(orders!$D232,products!$A$1:$A$49,0),MATCH(orders!K$1,products!$A$1:$G$1,0))</f>
        <v>2.5</v>
      </c>
      <c r="L232" s="10">
        <f>INDEX(products!$A$1:$G$49,MATCH(orders!$D232,products!$A$1:$A$49,0),MATCH(orders!L$1,products!$A$1:$G$1,0))</f>
        <v>25.874999999999996</v>
      </c>
      <c r="M232" s="10">
        <f t="shared" si="9"/>
        <v>51.749999999999993</v>
      </c>
      <c r="N232" t="str">
        <f t="shared" si="10"/>
        <v>Arabica</v>
      </c>
      <c r="O232" t="str">
        <f t="shared" si="11"/>
        <v>Medium</v>
      </c>
      <c r="P232" t="str">
        <f>_xlfn.XLOOKUP(Table1[[#This Row],[Customer ID]],customers!$A$1:$A$1001,customers!$I$1:$I$1001,,0)</f>
        <v>No</v>
      </c>
    </row>
    <row r="233" spans="1:16" x14ac:dyDescent="0.25">
      <c r="A233" s="2" t="s">
        <v>1795</v>
      </c>
      <c r="B233" s="8">
        <v>43628</v>
      </c>
      <c r="C233" s="2" t="s">
        <v>1796</v>
      </c>
      <c r="D233" t="s">
        <v>6159</v>
      </c>
      <c r="E233" s="2">
        <v>2</v>
      </c>
      <c r="F233" s="2" t="str">
        <f>_xlfn.XLOOKUP(orders!C233,customers!$A$1:$A$1001,customers!$B$1:$B$1001,,0)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9">
        <f>INDEX(products!$A$1:$G$49,MATCH(orders!$D233,products!$A$1:$A$49,0),MATCH(orders!K$1,products!$A$1:$G$1,0))</f>
        <v>0.2</v>
      </c>
      <c r="L233" s="10">
        <f>INDEX(products!$A$1:$G$49,MATCH(orders!$D233,products!$A$1:$A$49,0),MATCH(orders!L$1,products!$A$1:$G$1,0))</f>
        <v>4.3650000000000002</v>
      </c>
      <c r="M233" s="10">
        <f t="shared" si="9"/>
        <v>8.73</v>
      </c>
      <c r="N233" t="str">
        <f t="shared" si="10"/>
        <v>Liberica</v>
      </c>
      <c r="O233" t="str">
        <f t="shared" si="11"/>
        <v>Medium</v>
      </c>
      <c r="P233" t="str">
        <f>_xlfn.XLOOKUP(Table1[[#This Row],[Customer ID]],customers!$A$1:$A$1001,customers!$I$1:$I$1001,,0)</f>
        <v>Yes</v>
      </c>
    </row>
    <row r="234" spans="1:16" x14ac:dyDescent="0.25">
      <c r="A234" s="2" t="s">
        <v>1800</v>
      </c>
      <c r="B234" s="8">
        <v>44010</v>
      </c>
      <c r="C234" s="2" t="s">
        <v>1801</v>
      </c>
      <c r="D234" t="s">
        <v>6145</v>
      </c>
      <c r="E234" s="2">
        <v>5</v>
      </c>
      <c r="F234" s="2" t="str">
        <f>_xlfn.XLOOKUP(orders!C234,customers!$A$1:$A$1001,customers!$B$1:$B$1001,,0)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9">
        <f>INDEX(products!$A$1:$G$49,MATCH(orders!$D234,products!$A$1:$A$49,0),MATCH(orders!K$1,products!$A$1:$G$1,0))</f>
        <v>0.2</v>
      </c>
      <c r="L234" s="10">
        <f>INDEX(products!$A$1:$G$49,MATCH(orders!$D234,products!$A$1:$A$49,0),MATCH(orders!L$1,products!$A$1:$G$1,0))</f>
        <v>4.7549999999999999</v>
      </c>
      <c r="M234" s="10">
        <f t="shared" si="9"/>
        <v>23.774999999999999</v>
      </c>
      <c r="N234" t="str">
        <f t="shared" si="10"/>
        <v>Liberica</v>
      </c>
      <c r="O234" t="str">
        <f t="shared" si="11"/>
        <v>Light</v>
      </c>
      <c r="P234" t="str">
        <f>_xlfn.XLOOKUP(Table1[[#This Row],[Customer ID]],customers!$A$1:$A$1001,customers!$I$1:$I$1001,,0)</f>
        <v>No</v>
      </c>
    </row>
    <row r="235" spans="1:16" x14ac:dyDescent="0.25">
      <c r="A235" s="2" t="s">
        <v>1806</v>
      </c>
      <c r="B235" s="8">
        <v>44278</v>
      </c>
      <c r="C235" s="2" t="s">
        <v>1807</v>
      </c>
      <c r="D235" t="s">
        <v>6156</v>
      </c>
      <c r="E235" s="2">
        <v>5</v>
      </c>
      <c r="F235" s="2" t="str">
        <f>_xlfn.XLOOKUP(orders!C235,customers!$A$1:$A$1001,customers!$B$1:$B$1001,,0)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9">
        <f>INDEX(products!$A$1:$G$49,MATCH(orders!$D235,products!$A$1:$A$49,0),MATCH(orders!K$1,products!$A$1:$G$1,0))</f>
        <v>0.2</v>
      </c>
      <c r="L235" s="10">
        <f>INDEX(products!$A$1:$G$49,MATCH(orders!$D235,products!$A$1:$A$49,0),MATCH(orders!L$1,products!$A$1:$G$1,0))</f>
        <v>4.125</v>
      </c>
      <c r="M235" s="10">
        <f t="shared" si="9"/>
        <v>20.625</v>
      </c>
      <c r="N235" t="str">
        <f t="shared" si="10"/>
        <v>Excelsa</v>
      </c>
      <c r="O235" t="str">
        <f t="shared" si="11"/>
        <v>Medium</v>
      </c>
      <c r="P235" t="str">
        <f>_xlfn.XLOOKUP(Table1[[#This Row],[Customer ID]],customers!$A$1:$A$1001,customers!$I$1:$I$1001,,0)</f>
        <v>No</v>
      </c>
    </row>
    <row r="236" spans="1:16" x14ac:dyDescent="0.25">
      <c r="A236" s="2" t="s">
        <v>1812</v>
      </c>
      <c r="B236" s="8">
        <v>44602</v>
      </c>
      <c r="C236" s="2" t="s">
        <v>1813</v>
      </c>
      <c r="D236" t="s">
        <v>6164</v>
      </c>
      <c r="E236" s="2">
        <v>1</v>
      </c>
      <c r="F236" s="2" t="str">
        <f>_xlfn.XLOOKUP(orders!C236,customers!$A$1:$A$1001,customers!$B$1:$B$1001,,0)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9">
        <f>INDEX(products!$A$1:$G$49,MATCH(orders!$D236,products!$A$1:$A$49,0),MATCH(orders!K$1,products!$A$1:$G$1,0))</f>
        <v>2.5</v>
      </c>
      <c r="L236" s="10">
        <f>INDEX(products!$A$1:$G$49,MATCH(orders!$D236,products!$A$1:$A$49,0),MATCH(orders!L$1,products!$A$1:$G$1,0))</f>
        <v>36.454999999999998</v>
      </c>
      <c r="M236" s="10">
        <f t="shared" si="9"/>
        <v>36.454999999999998</v>
      </c>
      <c r="N236" t="str">
        <f t="shared" si="10"/>
        <v>Liberica</v>
      </c>
      <c r="O236" t="str">
        <f t="shared" si="11"/>
        <v>Light</v>
      </c>
      <c r="P236" t="str">
        <f>_xlfn.XLOOKUP(Table1[[#This Row],[Customer ID]],customers!$A$1:$A$1001,customers!$I$1:$I$1001,,0)</f>
        <v>No</v>
      </c>
    </row>
    <row r="237" spans="1:16" x14ac:dyDescent="0.25">
      <c r="A237" s="2" t="s">
        <v>1818</v>
      </c>
      <c r="B237" s="8">
        <v>43571</v>
      </c>
      <c r="C237" s="2" t="s">
        <v>1819</v>
      </c>
      <c r="D237" t="s">
        <v>6164</v>
      </c>
      <c r="E237" s="2">
        <v>5</v>
      </c>
      <c r="F237" s="2" t="str">
        <f>_xlfn.XLOOKUP(orders!C237,customers!$A$1:$A$1001,customers!$B$1:$B$1001,,0)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9">
        <f>INDEX(products!$A$1:$G$49,MATCH(orders!$D237,products!$A$1:$A$49,0),MATCH(orders!K$1,products!$A$1:$G$1,0))</f>
        <v>2.5</v>
      </c>
      <c r="L237" s="10">
        <f>INDEX(products!$A$1:$G$49,MATCH(orders!$D237,products!$A$1:$A$49,0),MATCH(orders!L$1,products!$A$1:$G$1,0))</f>
        <v>36.454999999999998</v>
      </c>
      <c r="M237" s="10">
        <f t="shared" si="9"/>
        <v>182.27499999999998</v>
      </c>
      <c r="N237" t="str">
        <f t="shared" si="10"/>
        <v>Liberica</v>
      </c>
      <c r="O237" t="str">
        <f t="shared" si="11"/>
        <v>Light</v>
      </c>
      <c r="P237" t="str">
        <f>_xlfn.XLOOKUP(Table1[[#This Row],[Customer ID]],customers!$A$1:$A$1001,customers!$I$1:$I$1001,,0)</f>
        <v>No</v>
      </c>
    </row>
    <row r="238" spans="1:16" x14ac:dyDescent="0.25">
      <c r="A238" s="2" t="s">
        <v>1822</v>
      </c>
      <c r="B238" s="8">
        <v>43873</v>
      </c>
      <c r="C238" s="2" t="s">
        <v>1823</v>
      </c>
      <c r="D238" t="s">
        <v>6165</v>
      </c>
      <c r="E238" s="2">
        <v>3</v>
      </c>
      <c r="F238" s="2" t="str">
        <f>_xlfn.XLOOKUP(orders!C238,customers!$A$1:$A$1001,customers!$B$1:$B$1001,,0)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9">
        <f>INDEX(products!$A$1:$G$49,MATCH(orders!$D238,products!$A$1:$A$49,0),MATCH(orders!K$1,products!$A$1:$G$1,0))</f>
        <v>2.5</v>
      </c>
      <c r="L238" s="10">
        <f>INDEX(products!$A$1:$G$49,MATCH(orders!$D238,products!$A$1:$A$49,0),MATCH(orders!L$1,products!$A$1:$G$1,0))</f>
        <v>29.784999999999997</v>
      </c>
      <c r="M238" s="10">
        <f t="shared" si="9"/>
        <v>89.35499999999999</v>
      </c>
      <c r="N238" t="str">
        <f t="shared" si="10"/>
        <v>Liberica</v>
      </c>
      <c r="O238" t="str">
        <f t="shared" si="11"/>
        <v>Dark</v>
      </c>
      <c r="P238" t="str">
        <f>_xlfn.XLOOKUP(Table1[[#This Row],[Customer ID]],customers!$A$1:$A$1001,customers!$I$1:$I$1001,,0)</f>
        <v>No</v>
      </c>
    </row>
    <row r="239" spans="1:16" x14ac:dyDescent="0.25">
      <c r="A239" s="2" t="s">
        <v>1828</v>
      </c>
      <c r="B239" s="8">
        <v>44563</v>
      </c>
      <c r="C239" s="2" t="s">
        <v>1829</v>
      </c>
      <c r="D239" t="s">
        <v>6178</v>
      </c>
      <c r="E239" s="2">
        <v>1</v>
      </c>
      <c r="F239" s="2" t="str">
        <f>_xlfn.XLOOKUP(orders!C239,customers!$A$1:$A$1001,customers!$B$1:$B$1001,,0)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9">
        <f>INDEX(products!$A$1:$G$49,MATCH(orders!$D239,products!$A$1:$A$49,0),MATCH(orders!K$1,products!$A$1:$G$1,0))</f>
        <v>0.2</v>
      </c>
      <c r="L239" s="10">
        <f>INDEX(products!$A$1:$G$49,MATCH(orders!$D239,products!$A$1:$A$49,0),MATCH(orders!L$1,products!$A$1:$G$1,0))</f>
        <v>3.5849999999999995</v>
      </c>
      <c r="M239" s="10">
        <f t="shared" si="9"/>
        <v>3.5849999999999995</v>
      </c>
      <c r="N239" t="str">
        <f t="shared" si="10"/>
        <v>Robusta</v>
      </c>
      <c r="O239" t="str">
        <f t="shared" si="11"/>
        <v>Light</v>
      </c>
      <c r="P239" t="str">
        <f>_xlfn.XLOOKUP(Table1[[#This Row],[Customer ID]],customers!$A$1:$A$1001,customers!$I$1:$I$1001,,0)</f>
        <v>Yes</v>
      </c>
    </row>
    <row r="240" spans="1:16" x14ac:dyDescent="0.25">
      <c r="A240" s="2" t="s">
        <v>1833</v>
      </c>
      <c r="B240" s="8">
        <v>44172</v>
      </c>
      <c r="C240" s="2" t="s">
        <v>1834</v>
      </c>
      <c r="D240" t="s">
        <v>6151</v>
      </c>
      <c r="E240" s="2">
        <v>2</v>
      </c>
      <c r="F240" s="2" t="str">
        <f>_xlfn.XLOOKUP(orders!C240,customers!$A$1:$A$1001,customers!$B$1:$B$1001,,0)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9">
        <f>INDEX(products!$A$1:$G$49,MATCH(orders!$D240,products!$A$1:$A$49,0),MATCH(orders!K$1,products!$A$1:$G$1,0))</f>
        <v>2.5</v>
      </c>
      <c r="L240" s="10">
        <f>INDEX(products!$A$1:$G$49,MATCH(orders!$D240,products!$A$1:$A$49,0),MATCH(orders!L$1,products!$A$1:$G$1,0))</f>
        <v>22.884999999999998</v>
      </c>
      <c r="M240" s="10">
        <f t="shared" si="9"/>
        <v>45.769999999999996</v>
      </c>
      <c r="N240" t="str">
        <f t="shared" si="10"/>
        <v>Robusta</v>
      </c>
      <c r="O240" t="str">
        <f t="shared" si="11"/>
        <v>Medium</v>
      </c>
      <c r="P240" t="str">
        <f>_xlfn.XLOOKUP(Table1[[#This Row],[Customer ID]],customers!$A$1:$A$1001,customers!$I$1:$I$1001,,0)</f>
        <v>Yes</v>
      </c>
    </row>
    <row r="241" spans="1:16" x14ac:dyDescent="0.25">
      <c r="A241" s="2" t="s">
        <v>1839</v>
      </c>
      <c r="B241" s="8">
        <v>43881</v>
      </c>
      <c r="C241" s="2" t="s">
        <v>1840</v>
      </c>
      <c r="D241" t="s">
        <v>6171</v>
      </c>
      <c r="E241" s="2">
        <v>4</v>
      </c>
      <c r="F241" s="2" t="str">
        <f>_xlfn.XLOOKUP(orders!C241,customers!$A$1:$A$1001,customers!$B$1:$B$1001,,0)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9">
        <f>INDEX(products!$A$1:$G$49,MATCH(orders!$D241,products!$A$1:$A$49,0),MATCH(orders!K$1,products!$A$1:$G$1,0))</f>
        <v>1</v>
      </c>
      <c r="L241" s="10">
        <f>INDEX(products!$A$1:$G$49,MATCH(orders!$D241,products!$A$1:$A$49,0),MATCH(orders!L$1,products!$A$1:$G$1,0))</f>
        <v>14.85</v>
      </c>
      <c r="M241" s="10">
        <f t="shared" si="9"/>
        <v>59.4</v>
      </c>
      <c r="N241" t="str">
        <f t="shared" si="10"/>
        <v>Excelsa</v>
      </c>
      <c r="O241" t="str">
        <f t="shared" si="11"/>
        <v>Light</v>
      </c>
      <c r="P241" t="str">
        <f>_xlfn.XLOOKUP(Table1[[#This Row],[Customer ID]],customers!$A$1:$A$1001,customers!$I$1:$I$1001,,0)</f>
        <v>No</v>
      </c>
    </row>
    <row r="242" spans="1:16" x14ac:dyDescent="0.25">
      <c r="A242" s="2" t="s">
        <v>1845</v>
      </c>
      <c r="B242" s="8">
        <v>43993</v>
      </c>
      <c r="C242" s="2" t="s">
        <v>1846</v>
      </c>
      <c r="D242" t="s">
        <v>6175</v>
      </c>
      <c r="E242" s="2">
        <v>6</v>
      </c>
      <c r="F242" s="2" t="str">
        <f>_xlfn.XLOOKUP(orders!C242,customers!$A$1:$A$1001,customers!$B$1:$B$1001,,0)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9">
        <f>INDEX(products!$A$1:$G$49,MATCH(orders!$D242,products!$A$1:$A$49,0),MATCH(orders!K$1,products!$A$1:$G$1,0))</f>
        <v>2.5</v>
      </c>
      <c r="L242" s="10">
        <f>INDEX(products!$A$1:$G$49,MATCH(orders!$D242,products!$A$1:$A$49,0),MATCH(orders!L$1,products!$A$1:$G$1,0))</f>
        <v>25.874999999999996</v>
      </c>
      <c r="M242" s="10">
        <f t="shared" si="9"/>
        <v>155.24999999999997</v>
      </c>
      <c r="N242" t="str">
        <f t="shared" si="10"/>
        <v>Arabica</v>
      </c>
      <c r="O242" t="str">
        <f t="shared" si="11"/>
        <v>Medium</v>
      </c>
      <c r="P242" t="str">
        <f>_xlfn.XLOOKUP(Table1[[#This Row],[Customer ID]],customers!$A$1:$A$1001,customers!$I$1:$I$1001,,0)</f>
        <v>Yes</v>
      </c>
    </row>
    <row r="243" spans="1:16" x14ac:dyDescent="0.25">
      <c r="A243" s="2" t="s">
        <v>1849</v>
      </c>
      <c r="B243" s="8">
        <v>44082</v>
      </c>
      <c r="C243" s="2" t="s">
        <v>1850</v>
      </c>
      <c r="D243" t="s">
        <v>6151</v>
      </c>
      <c r="E243" s="2">
        <v>2</v>
      </c>
      <c r="F243" s="2" t="str">
        <f>_xlfn.XLOOKUP(orders!C243,customers!$A$1:$A$1001,customers!$B$1:$B$1001,,0)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9">
        <f>INDEX(products!$A$1:$G$49,MATCH(orders!$D243,products!$A$1:$A$49,0),MATCH(orders!K$1,products!$A$1:$G$1,0))</f>
        <v>2.5</v>
      </c>
      <c r="L243" s="10">
        <f>INDEX(products!$A$1:$G$49,MATCH(orders!$D243,products!$A$1:$A$49,0),MATCH(orders!L$1,products!$A$1:$G$1,0))</f>
        <v>22.884999999999998</v>
      </c>
      <c r="M243" s="10">
        <f t="shared" si="9"/>
        <v>45.769999999999996</v>
      </c>
      <c r="N243" t="str">
        <f t="shared" si="10"/>
        <v>Robusta</v>
      </c>
      <c r="O243" t="str">
        <f t="shared" si="11"/>
        <v>Medium</v>
      </c>
      <c r="P243" t="str">
        <f>_xlfn.XLOOKUP(Table1[[#This Row],[Customer ID]],customers!$A$1:$A$1001,customers!$I$1:$I$1001,,0)</f>
        <v>No</v>
      </c>
    </row>
    <row r="244" spans="1:16" x14ac:dyDescent="0.25">
      <c r="A244" s="2" t="s">
        <v>1854</v>
      </c>
      <c r="B244" s="8">
        <v>43918</v>
      </c>
      <c r="C244" s="2" t="s">
        <v>1855</v>
      </c>
      <c r="D244" t="s">
        <v>6183</v>
      </c>
      <c r="E244" s="2">
        <v>3</v>
      </c>
      <c r="F244" s="2" t="str">
        <f>_xlfn.XLOOKUP(orders!C244,customers!$A$1:$A$1001,customers!$B$1:$B$1001,,0)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9">
        <f>INDEX(products!$A$1:$G$49,MATCH(orders!$D244,products!$A$1:$A$49,0),MATCH(orders!K$1,products!$A$1:$G$1,0))</f>
        <v>1</v>
      </c>
      <c r="L244" s="10">
        <f>INDEX(products!$A$1:$G$49,MATCH(orders!$D244,products!$A$1:$A$49,0),MATCH(orders!L$1,products!$A$1:$G$1,0))</f>
        <v>12.15</v>
      </c>
      <c r="M244" s="10">
        <f t="shared" si="9"/>
        <v>36.450000000000003</v>
      </c>
      <c r="N244" t="str">
        <f t="shared" si="10"/>
        <v>Excelsa</v>
      </c>
      <c r="O244" t="str">
        <f t="shared" si="11"/>
        <v>Dark</v>
      </c>
      <c r="P244" t="str">
        <f>_xlfn.XLOOKUP(Table1[[#This Row],[Customer ID]],customers!$A$1:$A$1001,customers!$I$1:$I$1001,,0)</f>
        <v>Yes</v>
      </c>
    </row>
    <row r="245" spans="1:16" x14ac:dyDescent="0.25">
      <c r="A245" s="2" t="s">
        <v>1860</v>
      </c>
      <c r="B245" s="8">
        <v>44114</v>
      </c>
      <c r="C245" s="2" t="s">
        <v>1861</v>
      </c>
      <c r="D245" t="s">
        <v>6144</v>
      </c>
      <c r="E245" s="2">
        <v>4</v>
      </c>
      <c r="F245" s="2" t="str">
        <f>_xlfn.XLOOKUP(orders!C245,customers!$A$1:$A$1001,customers!$B$1:$B$1001,,0)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9">
        <f>INDEX(products!$A$1:$G$49,MATCH(orders!$D245,products!$A$1:$A$49,0),MATCH(orders!K$1,products!$A$1:$G$1,0))</f>
        <v>0.5</v>
      </c>
      <c r="L245" s="10">
        <f>INDEX(products!$A$1:$G$49,MATCH(orders!$D245,products!$A$1:$A$49,0),MATCH(orders!L$1,products!$A$1:$G$1,0))</f>
        <v>7.29</v>
      </c>
      <c r="M245" s="10">
        <f t="shared" si="9"/>
        <v>29.16</v>
      </c>
      <c r="N245" t="str">
        <f t="shared" si="10"/>
        <v>Excelsa</v>
      </c>
      <c r="O245" t="str">
        <f t="shared" si="11"/>
        <v>Dark</v>
      </c>
      <c r="P245" t="str">
        <f>_xlfn.XLOOKUP(Table1[[#This Row],[Customer ID]],customers!$A$1:$A$1001,customers!$I$1:$I$1001,,0)</f>
        <v>Yes</v>
      </c>
    </row>
    <row r="246" spans="1:16" x14ac:dyDescent="0.25">
      <c r="A246" s="2" t="s">
        <v>1866</v>
      </c>
      <c r="B246" s="8">
        <v>44702</v>
      </c>
      <c r="C246" s="2" t="s">
        <v>1867</v>
      </c>
      <c r="D246" t="s">
        <v>6181</v>
      </c>
      <c r="E246" s="2">
        <v>4</v>
      </c>
      <c r="F246" s="2" t="str">
        <f>_xlfn.XLOOKUP(orders!C246,customers!$A$1:$A$1001,customers!$B$1:$B$1001,,0)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9">
        <f>INDEX(products!$A$1:$G$49,MATCH(orders!$D246,products!$A$1:$A$49,0),MATCH(orders!K$1,products!$A$1:$G$1,0))</f>
        <v>2.5</v>
      </c>
      <c r="L246" s="10">
        <f>INDEX(products!$A$1:$G$49,MATCH(orders!$D246,products!$A$1:$A$49,0),MATCH(orders!L$1,products!$A$1:$G$1,0))</f>
        <v>33.464999999999996</v>
      </c>
      <c r="M246" s="10">
        <f t="shared" si="9"/>
        <v>133.85999999999999</v>
      </c>
      <c r="N246" t="str">
        <f t="shared" si="10"/>
        <v>Liberica</v>
      </c>
      <c r="O246" t="str">
        <f t="shared" si="11"/>
        <v>Medium</v>
      </c>
      <c r="P246" t="str">
        <f>_xlfn.XLOOKUP(Table1[[#This Row],[Customer ID]],customers!$A$1:$A$1001,customers!$I$1:$I$1001,,0)</f>
        <v>No</v>
      </c>
    </row>
    <row r="247" spans="1:16" x14ac:dyDescent="0.25">
      <c r="A247" s="2" t="s">
        <v>1872</v>
      </c>
      <c r="B247" s="8">
        <v>43951</v>
      </c>
      <c r="C247" s="2" t="s">
        <v>1873</v>
      </c>
      <c r="D247" t="s">
        <v>6145</v>
      </c>
      <c r="E247" s="2">
        <v>5</v>
      </c>
      <c r="F247" s="2" t="str">
        <f>_xlfn.XLOOKUP(orders!C247,customers!$A$1:$A$1001,customers!$B$1:$B$1001,,0)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9">
        <f>INDEX(products!$A$1:$G$49,MATCH(orders!$D247,products!$A$1:$A$49,0),MATCH(orders!K$1,products!$A$1:$G$1,0))</f>
        <v>0.2</v>
      </c>
      <c r="L247" s="10">
        <f>INDEX(products!$A$1:$G$49,MATCH(orders!$D247,products!$A$1:$A$49,0),MATCH(orders!L$1,products!$A$1:$G$1,0))</f>
        <v>4.7549999999999999</v>
      </c>
      <c r="M247" s="10">
        <f t="shared" si="9"/>
        <v>23.774999999999999</v>
      </c>
      <c r="N247" t="str">
        <f t="shared" si="10"/>
        <v>Liberica</v>
      </c>
      <c r="O247" t="str">
        <f t="shared" si="11"/>
        <v>Light</v>
      </c>
      <c r="P247" t="str">
        <f>_xlfn.XLOOKUP(Table1[[#This Row],[Customer ID]],customers!$A$1:$A$1001,customers!$I$1:$I$1001,,0)</f>
        <v>Yes</v>
      </c>
    </row>
    <row r="248" spans="1:16" x14ac:dyDescent="0.25">
      <c r="A248" s="2" t="s">
        <v>1878</v>
      </c>
      <c r="B248" s="8">
        <v>44542</v>
      </c>
      <c r="C248" s="2" t="s">
        <v>1879</v>
      </c>
      <c r="D248" t="s">
        <v>6143</v>
      </c>
      <c r="E248" s="2">
        <v>3</v>
      </c>
      <c r="F248" s="2" t="str">
        <f>_xlfn.XLOOKUP(orders!C248,customers!$A$1:$A$1001,customers!$B$1:$B$1001,,0)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9">
        <f>INDEX(products!$A$1:$G$49,MATCH(orders!$D248,products!$A$1:$A$49,0),MATCH(orders!K$1,products!$A$1:$G$1,0))</f>
        <v>1</v>
      </c>
      <c r="L248" s="10">
        <f>INDEX(products!$A$1:$G$49,MATCH(orders!$D248,products!$A$1:$A$49,0),MATCH(orders!L$1,products!$A$1:$G$1,0))</f>
        <v>12.95</v>
      </c>
      <c r="M248" s="10">
        <f t="shared" si="9"/>
        <v>38.849999999999994</v>
      </c>
      <c r="N248" t="str">
        <f t="shared" si="10"/>
        <v>Liberica</v>
      </c>
      <c r="O248" t="str">
        <f t="shared" si="11"/>
        <v>Dark</v>
      </c>
      <c r="P248" t="str">
        <f>_xlfn.XLOOKUP(Table1[[#This Row],[Customer ID]],customers!$A$1:$A$1001,customers!$I$1:$I$1001,,0)</f>
        <v>No</v>
      </c>
    </row>
    <row r="249" spans="1:16" x14ac:dyDescent="0.25">
      <c r="A249" s="2" t="s">
        <v>1884</v>
      </c>
      <c r="B249" s="8">
        <v>44131</v>
      </c>
      <c r="C249" s="2" t="s">
        <v>1885</v>
      </c>
      <c r="D249" t="s">
        <v>6178</v>
      </c>
      <c r="E249" s="2">
        <v>6</v>
      </c>
      <c r="F249" s="2" t="str">
        <f>_xlfn.XLOOKUP(orders!C249,customers!$A$1:$A$1001,customers!$B$1:$B$1001,,0)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9">
        <f>INDEX(products!$A$1:$G$49,MATCH(orders!$D249,products!$A$1:$A$49,0),MATCH(orders!K$1,products!$A$1:$G$1,0))</f>
        <v>0.2</v>
      </c>
      <c r="L249" s="10">
        <f>INDEX(products!$A$1:$G$49,MATCH(orders!$D249,products!$A$1:$A$49,0),MATCH(orders!L$1,products!$A$1:$G$1,0))</f>
        <v>3.5849999999999995</v>
      </c>
      <c r="M249" s="10">
        <f t="shared" si="9"/>
        <v>21.509999999999998</v>
      </c>
      <c r="N249" t="str">
        <f t="shared" si="10"/>
        <v>Robusta</v>
      </c>
      <c r="O249" t="str">
        <f t="shared" si="11"/>
        <v>Light</v>
      </c>
      <c r="P249" t="str">
        <f>_xlfn.XLOOKUP(Table1[[#This Row],[Customer ID]],customers!$A$1:$A$1001,customers!$I$1:$I$1001,,0)</f>
        <v>Yes</v>
      </c>
    </row>
    <row r="250" spans="1:16" x14ac:dyDescent="0.25">
      <c r="A250" s="2" t="s">
        <v>1889</v>
      </c>
      <c r="B250" s="8">
        <v>44019</v>
      </c>
      <c r="C250" s="2" t="s">
        <v>1890</v>
      </c>
      <c r="D250" t="s">
        <v>6147</v>
      </c>
      <c r="E250" s="2">
        <v>1</v>
      </c>
      <c r="F250" s="2" t="str">
        <f>_xlfn.XLOOKUP(orders!C250,customers!$A$1:$A$1001,customers!$B$1:$B$1001,,0)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9">
        <f>INDEX(products!$A$1:$G$49,MATCH(orders!$D250,products!$A$1:$A$49,0),MATCH(orders!K$1,products!$A$1:$G$1,0))</f>
        <v>1</v>
      </c>
      <c r="L250" s="10">
        <f>INDEX(products!$A$1:$G$49,MATCH(orders!$D250,products!$A$1:$A$49,0),MATCH(orders!L$1,products!$A$1:$G$1,0))</f>
        <v>9.9499999999999993</v>
      </c>
      <c r="M250" s="10">
        <f t="shared" si="9"/>
        <v>9.9499999999999993</v>
      </c>
      <c r="N250" t="str">
        <f t="shared" si="10"/>
        <v>Arabica</v>
      </c>
      <c r="O250" t="str">
        <f t="shared" si="11"/>
        <v>Dark</v>
      </c>
      <c r="P250" t="str">
        <f>_xlfn.XLOOKUP(Table1[[#This Row],[Customer ID]],customers!$A$1:$A$1001,customers!$I$1:$I$1001,,0)</f>
        <v>Yes</v>
      </c>
    </row>
    <row r="251" spans="1:16" x14ac:dyDescent="0.25">
      <c r="A251" s="2" t="s">
        <v>1895</v>
      </c>
      <c r="B251" s="8">
        <v>43861</v>
      </c>
      <c r="C251" s="2" t="s">
        <v>1935</v>
      </c>
      <c r="D251" t="s">
        <v>6170</v>
      </c>
      <c r="E251" s="2">
        <v>1</v>
      </c>
      <c r="F251" s="2" t="str">
        <f>_xlfn.XLOOKUP(orders!C251,customers!$A$1:$A$1001,customers!$B$1:$B$1001,,0)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9">
        <f>INDEX(products!$A$1:$G$49,MATCH(orders!$D251,products!$A$1:$A$49,0),MATCH(orders!K$1,products!$A$1:$G$1,0))</f>
        <v>1</v>
      </c>
      <c r="L251" s="10">
        <f>INDEX(products!$A$1:$G$49,MATCH(orders!$D251,products!$A$1:$A$49,0),MATCH(orders!L$1,products!$A$1:$G$1,0))</f>
        <v>15.85</v>
      </c>
      <c r="M251" s="10">
        <f t="shared" si="9"/>
        <v>15.85</v>
      </c>
      <c r="N251" t="str">
        <f t="shared" si="10"/>
        <v>Liberica</v>
      </c>
      <c r="O251" t="str">
        <f t="shared" si="11"/>
        <v>Light</v>
      </c>
      <c r="P251" t="str">
        <f>_xlfn.XLOOKUP(Table1[[#This Row],[Customer ID]],customers!$A$1:$A$1001,customers!$I$1:$I$1001,,0)</f>
        <v>Yes</v>
      </c>
    </row>
    <row r="252" spans="1:16" x14ac:dyDescent="0.25">
      <c r="A252" s="2" t="s">
        <v>1900</v>
      </c>
      <c r="B252" s="8">
        <v>43879</v>
      </c>
      <c r="C252" s="2" t="s">
        <v>1901</v>
      </c>
      <c r="D252" t="s">
        <v>6174</v>
      </c>
      <c r="E252" s="2">
        <v>1</v>
      </c>
      <c r="F252" s="2" t="str">
        <f>_xlfn.XLOOKUP(orders!C252,customers!$A$1:$A$1001,customers!$B$1:$B$1001,,0)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9">
        <f>INDEX(products!$A$1:$G$49,MATCH(orders!$D252,products!$A$1:$A$49,0),MATCH(orders!K$1,products!$A$1:$G$1,0))</f>
        <v>0.2</v>
      </c>
      <c r="L252" s="10">
        <f>INDEX(products!$A$1:$G$49,MATCH(orders!$D252,products!$A$1:$A$49,0),MATCH(orders!L$1,products!$A$1:$G$1,0))</f>
        <v>2.9849999999999999</v>
      </c>
      <c r="M252" s="10">
        <f t="shared" si="9"/>
        <v>2.9849999999999999</v>
      </c>
      <c r="N252" t="str">
        <f t="shared" si="10"/>
        <v>Robusta</v>
      </c>
      <c r="O252" t="str">
        <f t="shared" si="11"/>
        <v>Medium</v>
      </c>
      <c r="P252" t="str">
        <f>_xlfn.XLOOKUP(Table1[[#This Row],[Customer ID]],customers!$A$1:$A$1001,customers!$I$1:$I$1001,,0)</f>
        <v>Yes</v>
      </c>
    </row>
    <row r="253" spans="1:16" x14ac:dyDescent="0.25">
      <c r="A253" s="2" t="s">
        <v>1906</v>
      </c>
      <c r="B253" s="8">
        <v>44360</v>
      </c>
      <c r="C253" s="2" t="s">
        <v>1907</v>
      </c>
      <c r="D253" t="s">
        <v>6141</v>
      </c>
      <c r="E253" s="2">
        <v>5</v>
      </c>
      <c r="F253" s="2" t="str">
        <f>_xlfn.XLOOKUP(orders!C253,customers!$A$1:$A$1001,customers!$B$1:$B$1001,,0)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9">
        <f>INDEX(products!$A$1:$G$49,MATCH(orders!$D253,products!$A$1:$A$49,0),MATCH(orders!K$1,products!$A$1:$G$1,0))</f>
        <v>1</v>
      </c>
      <c r="L253" s="10">
        <f>INDEX(products!$A$1:$G$49,MATCH(orders!$D253,products!$A$1:$A$49,0),MATCH(orders!L$1,products!$A$1:$G$1,0))</f>
        <v>13.75</v>
      </c>
      <c r="M253" s="10">
        <f t="shared" si="9"/>
        <v>68.75</v>
      </c>
      <c r="N253" t="str">
        <f t="shared" si="10"/>
        <v>Excelsa</v>
      </c>
      <c r="O253" t="str">
        <f t="shared" si="11"/>
        <v>Medium</v>
      </c>
      <c r="P253" t="str">
        <f>_xlfn.XLOOKUP(Table1[[#This Row],[Customer ID]],customers!$A$1:$A$1001,customers!$I$1:$I$1001,,0)</f>
        <v>Yes</v>
      </c>
    </row>
    <row r="254" spans="1:16" x14ac:dyDescent="0.25">
      <c r="A254" s="2" t="s">
        <v>1912</v>
      </c>
      <c r="B254" s="8">
        <v>44779</v>
      </c>
      <c r="C254" s="2" t="s">
        <v>1913</v>
      </c>
      <c r="D254" t="s">
        <v>6147</v>
      </c>
      <c r="E254" s="2">
        <v>3</v>
      </c>
      <c r="F254" s="2" t="str">
        <f>_xlfn.XLOOKUP(orders!C254,customers!$A$1:$A$1001,customers!$B$1:$B$1001,,0)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9">
        <f>INDEX(products!$A$1:$G$49,MATCH(orders!$D254,products!$A$1:$A$49,0),MATCH(orders!K$1,products!$A$1:$G$1,0))</f>
        <v>1</v>
      </c>
      <c r="L254" s="10">
        <f>INDEX(products!$A$1:$G$49,MATCH(orders!$D254,products!$A$1:$A$49,0),MATCH(orders!L$1,products!$A$1:$G$1,0))</f>
        <v>9.9499999999999993</v>
      </c>
      <c r="M254" s="10">
        <f t="shared" si="9"/>
        <v>29.849999999999998</v>
      </c>
      <c r="N254" t="str">
        <f t="shared" si="10"/>
        <v>Arabica</v>
      </c>
      <c r="O254" t="str">
        <f t="shared" si="11"/>
        <v>Dark</v>
      </c>
      <c r="P254" t="str">
        <f>_xlfn.XLOOKUP(Table1[[#This Row],[Customer ID]],customers!$A$1:$A$1001,customers!$I$1:$I$1001,,0)</f>
        <v>No</v>
      </c>
    </row>
    <row r="255" spans="1:16" x14ac:dyDescent="0.25">
      <c r="A255" s="2" t="s">
        <v>1917</v>
      </c>
      <c r="B255" s="8">
        <v>44523</v>
      </c>
      <c r="C255" s="2" t="s">
        <v>1918</v>
      </c>
      <c r="D255" t="s">
        <v>6162</v>
      </c>
      <c r="E255" s="2">
        <v>4</v>
      </c>
      <c r="F255" s="2" t="str">
        <f>_xlfn.XLOOKUP(orders!C255,customers!$A$1:$A$1001,customers!$B$1:$B$1001,,0)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9">
        <f>INDEX(products!$A$1:$G$49,MATCH(orders!$D255,products!$A$1:$A$49,0),MATCH(orders!K$1,products!$A$1:$G$1,0))</f>
        <v>1</v>
      </c>
      <c r="L255" s="10">
        <f>INDEX(products!$A$1:$G$49,MATCH(orders!$D255,products!$A$1:$A$49,0),MATCH(orders!L$1,products!$A$1:$G$1,0))</f>
        <v>14.55</v>
      </c>
      <c r="M255" s="10">
        <f t="shared" si="9"/>
        <v>58.2</v>
      </c>
      <c r="N255" t="str">
        <f t="shared" si="10"/>
        <v>Liberica</v>
      </c>
      <c r="O255" t="str">
        <f t="shared" si="11"/>
        <v>Medium</v>
      </c>
      <c r="P255" t="str">
        <f>_xlfn.XLOOKUP(Table1[[#This Row],[Customer ID]],customers!$A$1:$A$1001,customers!$I$1:$I$1001,,0)</f>
        <v>No</v>
      </c>
    </row>
    <row r="256" spans="1:16" x14ac:dyDescent="0.25">
      <c r="A256" s="2" t="s">
        <v>1923</v>
      </c>
      <c r="B256" s="8">
        <v>44482</v>
      </c>
      <c r="C256" s="2" t="s">
        <v>1924</v>
      </c>
      <c r="D256" t="s">
        <v>6173</v>
      </c>
      <c r="E256" s="2">
        <v>4</v>
      </c>
      <c r="F256" s="2" t="str">
        <f>_xlfn.XLOOKUP(orders!C256,customers!$A$1:$A$1001,customers!$B$1:$B$1001,,0)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9">
        <f>INDEX(products!$A$1:$G$49,MATCH(orders!$D256,products!$A$1:$A$49,0),MATCH(orders!K$1,products!$A$1:$G$1,0))</f>
        <v>0.5</v>
      </c>
      <c r="L256" s="10">
        <f>INDEX(products!$A$1:$G$49,MATCH(orders!$D256,products!$A$1:$A$49,0),MATCH(orders!L$1,products!$A$1:$G$1,0))</f>
        <v>7.169999999999999</v>
      </c>
      <c r="M256" s="10">
        <f t="shared" si="9"/>
        <v>28.679999999999996</v>
      </c>
      <c r="N256" t="str">
        <f t="shared" si="10"/>
        <v>Robusta</v>
      </c>
      <c r="O256" t="str">
        <f t="shared" si="11"/>
        <v>Light</v>
      </c>
      <c r="P256" t="str">
        <f>_xlfn.XLOOKUP(Table1[[#This Row],[Customer ID]],customers!$A$1:$A$1001,customers!$I$1:$I$1001,,0)</f>
        <v>No</v>
      </c>
    </row>
    <row r="257" spans="1:16" x14ac:dyDescent="0.25">
      <c r="A257" s="2" t="s">
        <v>1928</v>
      </c>
      <c r="B257" s="8">
        <v>44439</v>
      </c>
      <c r="C257" s="2" t="s">
        <v>1929</v>
      </c>
      <c r="D257" t="s">
        <v>6173</v>
      </c>
      <c r="E257" s="2">
        <v>3</v>
      </c>
      <c r="F257" s="2" t="str">
        <f>_xlfn.XLOOKUP(orders!C257,customers!$A$1:$A$1001,customers!$B$1:$B$1001,,0)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9">
        <f>INDEX(products!$A$1:$G$49,MATCH(orders!$D257,products!$A$1:$A$49,0),MATCH(orders!K$1,products!$A$1:$G$1,0))</f>
        <v>0.5</v>
      </c>
      <c r="L257" s="10">
        <f>INDEX(products!$A$1:$G$49,MATCH(orders!$D257,products!$A$1:$A$49,0),MATCH(orders!L$1,products!$A$1:$G$1,0))</f>
        <v>7.169999999999999</v>
      </c>
      <c r="M257" s="10">
        <f t="shared" si="9"/>
        <v>21.509999999999998</v>
      </c>
      <c r="N257" t="str">
        <f t="shared" si="10"/>
        <v>Robusta</v>
      </c>
      <c r="O257" t="str">
        <f t="shared" si="11"/>
        <v>Light</v>
      </c>
      <c r="P257" t="str">
        <f>_xlfn.XLOOKUP(Table1[[#This Row],[Customer ID]],customers!$A$1:$A$1001,customers!$I$1:$I$1001,,0)</f>
        <v>No</v>
      </c>
    </row>
    <row r="258" spans="1:16" x14ac:dyDescent="0.25">
      <c r="A258" s="2" t="s">
        <v>1934</v>
      </c>
      <c r="B258" s="8">
        <v>43846</v>
      </c>
      <c r="C258" s="2" t="s">
        <v>1935</v>
      </c>
      <c r="D258" t="s">
        <v>6160</v>
      </c>
      <c r="E258" s="2">
        <v>2</v>
      </c>
      <c r="F258" s="2" t="str">
        <f>_xlfn.XLOOKUP(orders!C258,customers!$A$1:$A$1001,customers!$B$1:$B$1001,,0)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9">
        <f>INDEX(products!$A$1:$G$49,MATCH(orders!$D258,products!$A$1:$A$49,0),MATCH(orders!K$1,products!$A$1:$G$1,0))</f>
        <v>0.5</v>
      </c>
      <c r="L258" s="10">
        <f>INDEX(products!$A$1:$G$49,MATCH(orders!$D258,products!$A$1:$A$49,0),MATCH(orders!L$1,products!$A$1:$G$1,0))</f>
        <v>8.73</v>
      </c>
      <c r="M258" s="10">
        <f t="shared" si="9"/>
        <v>17.46</v>
      </c>
      <c r="N258" t="str">
        <f t="shared" si="10"/>
        <v>Liberica</v>
      </c>
      <c r="O258" t="str">
        <f t="shared" si="11"/>
        <v>Medium</v>
      </c>
      <c r="P258" t="str">
        <f>_xlfn.XLOOKUP(Table1[[#This Row],[Customer ID]],customers!$A$1:$A$1001,customers!$I$1:$I$1001,,0)</f>
        <v>Yes</v>
      </c>
    </row>
    <row r="259" spans="1:16" x14ac:dyDescent="0.25">
      <c r="A259" s="2" t="s">
        <v>1940</v>
      </c>
      <c r="B259" s="8">
        <v>44676</v>
      </c>
      <c r="C259" s="2" t="s">
        <v>1941</v>
      </c>
      <c r="D259" t="s">
        <v>6185</v>
      </c>
      <c r="E259" s="2">
        <v>1</v>
      </c>
      <c r="F259" s="2" t="str">
        <f>_xlfn.XLOOKUP(orders!C259,customers!$A$1:$A$1001,customers!$B$1:$B$1001,,0)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9">
        <f>INDEX(products!$A$1:$G$49,MATCH(orders!$D259,products!$A$1:$A$49,0),MATCH(orders!K$1,products!$A$1:$G$1,0))</f>
        <v>2.5</v>
      </c>
      <c r="L259" s="10">
        <f>INDEX(products!$A$1:$G$49,MATCH(orders!$D259,products!$A$1:$A$49,0),MATCH(orders!L$1,products!$A$1:$G$1,0))</f>
        <v>27.945</v>
      </c>
      <c r="M259" s="10">
        <f t="shared" ref="M259:M322" si="12">L259*E259</f>
        <v>27.945</v>
      </c>
      <c r="N259" t="str">
        <f t="shared" ref="N259:N322" si="13">IF(I259="Rob", "Robusta", IF(I259="Exc","Excelsa", IF(I259="Ara","Arabica", IF(I259="Lib","Liberica",""))))</f>
        <v>Excelsa</v>
      </c>
      <c r="O259" t="str">
        <f t="shared" ref="O259:O322" si="14">IF(J259="M", "Medium", IF(J259="L","Light",IF(J259="D","Dark","")))</f>
        <v>Dark</v>
      </c>
      <c r="P259" t="str">
        <f>_xlfn.XLOOKUP(Table1[[#This Row],[Customer ID]],customers!$A$1:$A$1001,customers!$I$1:$I$1001,,0)</f>
        <v>Yes</v>
      </c>
    </row>
    <row r="260" spans="1:16" x14ac:dyDescent="0.25">
      <c r="A260" s="2" t="s">
        <v>1946</v>
      </c>
      <c r="B260" s="8">
        <v>44513</v>
      </c>
      <c r="C260" s="2" t="s">
        <v>1947</v>
      </c>
      <c r="D260" t="s">
        <v>6185</v>
      </c>
      <c r="E260" s="2">
        <v>5</v>
      </c>
      <c r="F260" s="2" t="str">
        <f>_xlfn.XLOOKUP(orders!C260,customers!$A$1:$A$1001,customers!$B$1:$B$1001,,0)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9">
        <f>INDEX(products!$A$1:$G$49,MATCH(orders!$D260,products!$A$1:$A$49,0),MATCH(orders!K$1,products!$A$1:$G$1,0))</f>
        <v>2.5</v>
      </c>
      <c r="L260" s="10">
        <f>INDEX(products!$A$1:$G$49,MATCH(orders!$D260,products!$A$1:$A$49,0),MATCH(orders!L$1,products!$A$1:$G$1,0))</f>
        <v>27.945</v>
      </c>
      <c r="M260" s="10">
        <f t="shared" si="12"/>
        <v>139.72499999999999</v>
      </c>
      <c r="N260" t="str">
        <f t="shared" si="13"/>
        <v>Excelsa</v>
      </c>
      <c r="O260" t="str">
        <f t="shared" si="14"/>
        <v>Dark</v>
      </c>
      <c r="P260" t="str">
        <f>_xlfn.XLOOKUP(Table1[[#This Row],[Customer ID]],customers!$A$1:$A$1001,customers!$I$1:$I$1001,,0)</f>
        <v>No</v>
      </c>
    </row>
    <row r="261" spans="1:16" x14ac:dyDescent="0.25">
      <c r="A261" s="2" t="s">
        <v>1952</v>
      </c>
      <c r="B261" s="8">
        <v>44355</v>
      </c>
      <c r="C261" s="2" t="s">
        <v>1953</v>
      </c>
      <c r="D261" t="s">
        <v>6174</v>
      </c>
      <c r="E261" s="2">
        <v>2</v>
      </c>
      <c r="F261" s="2" t="str">
        <f>_xlfn.XLOOKUP(orders!C261,customers!$A$1:$A$1001,customers!$B$1:$B$1001,,0)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9">
        <f>INDEX(products!$A$1:$G$49,MATCH(orders!$D261,products!$A$1:$A$49,0),MATCH(orders!K$1,products!$A$1:$G$1,0))</f>
        <v>0.2</v>
      </c>
      <c r="L261" s="10">
        <f>INDEX(products!$A$1:$G$49,MATCH(orders!$D261,products!$A$1:$A$49,0),MATCH(orders!L$1,products!$A$1:$G$1,0))</f>
        <v>2.9849999999999999</v>
      </c>
      <c r="M261" s="10">
        <f t="shared" si="12"/>
        <v>5.97</v>
      </c>
      <c r="N261" t="str">
        <f t="shared" si="13"/>
        <v>Robusta</v>
      </c>
      <c r="O261" t="str">
        <f t="shared" si="14"/>
        <v>Medium</v>
      </c>
      <c r="P261" t="str">
        <f>_xlfn.XLOOKUP(Table1[[#This Row],[Customer ID]],customers!$A$1:$A$1001,customers!$I$1:$I$1001,,0)</f>
        <v>No</v>
      </c>
    </row>
    <row r="262" spans="1:16" x14ac:dyDescent="0.25">
      <c r="A262" s="2" t="s">
        <v>1958</v>
      </c>
      <c r="B262" s="8">
        <v>44156</v>
      </c>
      <c r="C262" s="2" t="s">
        <v>1959</v>
      </c>
      <c r="D262" t="s">
        <v>6142</v>
      </c>
      <c r="E262" s="2">
        <v>1</v>
      </c>
      <c r="F262" s="2" t="str">
        <f>_xlfn.XLOOKUP(orders!C262,customers!$A$1:$A$1001,customers!$B$1:$B$1001,,0)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9">
        <f>INDEX(products!$A$1:$G$49,MATCH(orders!$D262,products!$A$1:$A$49,0),MATCH(orders!K$1,products!$A$1:$G$1,0))</f>
        <v>2.5</v>
      </c>
      <c r="L262" s="10">
        <f>INDEX(products!$A$1:$G$49,MATCH(orders!$D262,products!$A$1:$A$49,0),MATCH(orders!L$1,products!$A$1:$G$1,0))</f>
        <v>27.484999999999996</v>
      </c>
      <c r="M262" s="10">
        <f t="shared" si="12"/>
        <v>27.484999999999996</v>
      </c>
      <c r="N262" t="str">
        <f t="shared" si="13"/>
        <v>Robusta</v>
      </c>
      <c r="O262" t="str">
        <f t="shared" si="14"/>
        <v>Light</v>
      </c>
      <c r="P262" t="str">
        <f>_xlfn.XLOOKUP(Table1[[#This Row],[Customer ID]],customers!$A$1:$A$1001,customers!$I$1:$I$1001,,0)</f>
        <v>Yes</v>
      </c>
    </row>
    <row r="263" spans="1:16" x14ac:dyDescent="0.25">
      <c r="A263" s="2" t="s">
        <v>1963</v>
      </c>
      <c r="B263" s="8">
        <v>43538</v>
      </c>
      <c r="C263" s="2" t="s">
        <v>1964</v>
      </c>
      <c r="D263" t="s">
        <v>6179</v>
      </c>
      <c r="E263" s="2">
        <v>5</v>
      </c>
      <c r="F263" s="2" t="str">
        <f>_xlfn.XLOOKUP(orders!C263,customers!$A$1:$A$1001,customers!$B$1:$B$1001,,0)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9">
        <f>INDEX(products!$A$1:$G$49,MATCH(orders!$D263,products!$A$1:$A$49,0),MATCH(orders!K$1,products!$A$1:$G$1,0))</f>
        <v>1</v>
      </c>
      <c r="L263" s="10">
        <f>INDEX(products!$A$1:$G$49,MATCH(orders!$D263,products!$A$1:$A$49,0),MATCH(orders!L$1,products!$A$1:$G$1,0))</f>
        <v>11.95</v>
      </c>
      <c r="M263" s="10">
        <f t="shared" si="12"/>
        <v>59.75</v>
      </c>
      <c r="N263" t="str">
        <f t="shared" si="13"/>
        <v>Robusta</v>
      </c>
      <c r="O263" t="str">
        <f t="shared" si="14"/>
        <v>Light</v>
      </c>
      <c r="P263" t="str">
        <f>_xlfn.XLOOKUP(Table1[[#This Row],[Customer ID]],customers!$A$1:$A$1001,customers!$I$1:$I$1001,,0)</f>
        <v>Yes</v>
      </c>
    </row>
    <row r="264" spans="1:16" x14ac:dyDescent="0.25">
      <c r="A264" s="2" t="s">
        <v>1969</v>
      </c>
      <c r="B264" s="8">
        <v>43693</v>
      </c>
      <c r="C264" s="2" t="s">
        <v>1970</v>
      </c>
      <c r="D264" t="s">
        <v>6141</v>
      </c>
      <c r="E264" s="2">
        <v>3</v>
      </c>
      <c r="F264" s="2" t="str">
        <f>_xlfn.XLOOKUP(orders!C264,customers!$A$1:$A$1001,customers!$B$1:$B$1001,,0)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9">
        <f>INDEX(products!$A$1:$G$49,MATCH(orders!$D264,products!$A$1:$A$49,0),MATCH(orders!K$1,products!$A$1:$G$1,0))</f>
        <v>1</v>
      </c>
      <c r="L264" s="10">
        <f>INDEX(products!$A$1:$G$49,MATCH(orders!$D264,products!$A$1:$A$49,0),MATCH(orders!L$1,products!$A$1:$G$1,0))</f>
        <v>13.75</v>
      </c>
      <c r="M264" s="10">
        <f t="shared" si="12"/>
        <v>41.25</v>
      </c>
      <c r="N264" t="str">
        <f t="shared" si="13"/>
        <v>Excelsa</v>
      </c>
      <c r="O264" t="str">
        <f t="shared" si="14"/>
        <v>Medium</v>
      </c>
      <c r="P264" t="str">
        <f>_xlfn.XLOOKUP(Table1[[#This Row],[Customer ID]],customers!$A$1:$A$1001,customers!$I$1:$I$1001,,0)</f>
        <v>No</v>
      </c>
    </row>
    <row r="265" spans="1:16" x14ac:dyDescent="0.25">
      <c r="A265" s="2" t="s">
        <v>1975</v>
      </c>
      <c r="B265" s="8">
        <v>43577</v>
      </c>
      <c r="C265" s="2" t="s">
        <v>1976</v>
      </c>
      <c r="D265" t="s">
        <v>6181</v>
      </c>
      <c r="E265" s="2">
        <v>4</v>
      </c>
      <c r="F265" s="2" t="str">
        <f>_xlfn.XLOOKUP(orders!C265,customers!$A$1:$A$1001,customers!$B$1:$B$1001,,0)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9">
        <f>INDEX(products!$A$1:$G$49,MATCH(orders!$D265,products!$A$1:$A$49,0),MATCH(orders!K$1,products!$A$1:$G$1,0))</f>
        <v>2.5</v>
      </c>
      <c r="L265" s="10">
        <f>INDEX(products!$A$1:$G$49,MATCH(orders!$D265,products!$A$1:$A$49,0),MATCH(orders!L$1,products!$A$1:$G$1,0))</f>
        <v>33.464999999999996</v>
      </c>
      <c r="M265" s="10">
        <f t="shared" si="12"/>
        <v>133.85999999999999</v>
      </c>
      <c r="N265" t="str">
        <f t="shared" si="13"/>
        <v>Liberica</v>
      </c>
      <c r="O265" t="str">
        <f t="shared" si="14"/>
        <v>Medium</v>
      </c>
      <c r="P265" t="str">
        <f>_xlfn.XLOOKUP(Table1[[#This Row],[Customer ID]],customers!$A$1:$A$1001,customers!$I$1:$I$1001,,0)</f>
        <v>No</v>
      </c>
    </row>
    <row r="266" spans="1:16" x14ac:dyDescent="0.25">
      <c r="A266" s="2" t="s">
        <v>1980</v>
      </c>
      <c r="B266" s="8">
        <v>44683</v>
      </c>
      <c r="C266" s="2" t="s">
        <v>1981</v>
      </c>
      <c r="D266" t="s">
        <v>6179</v>
      </c>
      <c r="E266" s="2">
        <v>5</v>
      </c>
      <c r="F266" s="2" t="str">
        <f>_xlfn.XLOOKUP(orders!C266,customers!$A$1:$A$1001,customers!$B$1:$B$1001,,0)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9">
        <f>INDEX(products!$A$1:$G$49,MATCH(orders!$D266,products!$A$1:$A$49,0),MATCH(orders!K$1,products!$A$1:$G$1,0))</f>
        <v>1</v>
      </c>
      <c r="L266" s="10">
        <f>INDEX(products!$A$1:$G$49,MATCH(orders!$D266,products!$A$1:$A$49,0),MATCH(orders!L$1,products!$A$1:$G$1,0))</f>
        <v>11.95</v>
      </c>
      <c r="M266" s="10">
        <f t="shared" si="12"/>
        <v>59.75</v>
      </c>
      <c r="N266" t="str">
        <f t="shared" si="13"/>
        <v>Robusta</v>
      </c>
      <c r="O266" t="str">
        <f t="shared" si="14"/>
        <v>Light</v>
      </c>
      <c r="P266" t="str">
        <f>_xlfn.XLOOKUP(Table1[[#This Row],[Customer ID]],customers!$A$1:$A$1001,customers!$I$1:$I$1001,,0)</f>
        <v>Yes</v>
      </c>
    </row>
    <row r="267" spans="1:16" x14ac:dyDescent="0.25">
      <c r="A267" s="2" t="s">
        <v>1986</v>
      </c>
      <c r="B267" s="8">
        <v>43872</v>
      </c>
      <c r="C267" s="2" t="s">
        <v>1987</v>
      </c>
      <c r="D267" t="s">
        <v>6158</v>
      </c>
      <c r="E267" s="2">
        <v>1</v>
      </c>
      <c r="F267" s="2" t="str">
        <f>_xlfn.XLOOKUP(orders!C267,customers!$A$1:$A$1001,customers!$B$1:$B$1001,,0)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9">
        <f>INDEX(products!$A$1:$G$49,MATCH(orders!$D267,products!$A$1:$A$49,0),MATCH(orders!K$1,products!$A$1:$G$1,0))</f>
        <v>0.5</v>
      </c>
      <c r="L267" s="10">
        <f>INDEX(products!$A$1:$G$49,MATCH(orders!$D267,products!$A$1:$A$49,0),MATCH(orders!L$1,products!$A$1:$G$1,0))</f>
        <v>5.97</v>
      </c>
      <c r="M267" s="10">
        <f t="shared" si="12"/>
        <v>5.97</v>
      </c>
      <c r="N267" t="str">
        <f t="shared" si="13"/>
        <v>Arabica</v>
      </c>
      <c r="O267" t="str">
        <f t="shared" si="14"/>
        <v>Dark</v>
      </c>
      <c r="P267" t="str">
        <f>_xlfn.XLOOKUP(Table1[[#This Row],[Customer ID]],customers!$A$1:$A$1001,customers!$I$1:$I$1001,,0)</f>
        <v>Yes</v>
      </c>
    </row>
    <row r="268" spans="1:16" x14ac:dyDescent="0.25">
      <c r="A268" s="2" t="s">
        <v>1992</v>
      </c>
      <c r="B268" s="8">
        <v>44283</v>
      </c>
      <c r="C268" s="2" t="s">
        <v>1993</v>
      </c>
      <c r="D268" t="s">
        <v>6183</v>
      </c>
      <c r="E268" s="2">
        <v>2</v>
      </c>
      <c r="F268" s="2" t="str">
        <f>_xlfn.XLOOKUP(orders!C268,customers!$A$1:$A$1001,customers!$B$1:$B$1001,,0)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9">
        <f>INDEX(products!$A$1:$G$49,MATCH(orders!$D268,products!$A$1:$A$49,0),MATCH(orders!K$1,products!$A$1:$G$1,0))</f>
        <v>1</v>
      </c>
      <c r="L268" s="10">
        <f>INDEX(products!$A$1:$G$49,MATCH(orders!$D268,products!$A$1:$A$49,0),MATCH(orders!L$1,products!$A$1:$G$1,0))</f>
        <v>12.15</v>
      </c>
      <c r="M268" s="10">
        <f t="shared" si="12"/>
        <v>24.3</v>
      </c>
      <c r="N268" t="str">
        <f t="shared" si="13"/>
        <v>Excelsa</v>
      </c>
      <c r="O268" t="str">
        <f t="shared" si="14"/>
        <v>Dark</v>
      </c>
      <c r="P268" t="str">
        <f>_xlfn.XLOOKUP(Table1[[#This Row],[Customer ID]],customers!$A$1:$A$1001,customers!$I$1:$I$1001,,0)</f>
        <v>No</v>
      </c>
    </row>
    <row r="269" spans="1:16" x14ac:dyDescent="0.25">
      <c r="A269" s="2" t="s">
        <v>1998</v>
      </c>
      <c r="B269" s="8">
        <v>44324</v>
      </c>
      <c r="C269" s="2" t="s">
        <v>1999</v>
      </c>
      <c r="D269" t="s">
        <v>6153</v>
      </c>
      <c r="E269" s="2">
        <v>6</v>
      </c>
      <c r="F269" s="2" t="str">
        <f>_xlfn.XLOOKUP(orders!C269,customers!$A$1:$A$1001,customers!$B$1:$B$1001,,0)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9">
        <f>INDEX(products!$A$1:$G$49,MATCH(orders!$D269,products!$A$1:$A$49,0),MATCH(orders!K$1,products!$A$1:$G$1,0))</f>
        <v>0.2</v>
      </c>
      <c r="L269" s="10">
        <f>INDEX(products!$A$1:$G$49,MATCH(orders!$D269,products!$A$1:$A$49,0),MATCH(orders!L$1,products!$A$1:$G$1,0))</f>
        <v>3.645</v>
      </c>
      <c r="M269" s="10">
        <f t="shared" si="12"/>
        <v>21.87</v>
      </c>
      <c r="N269" t="str">
        <f t="shared" si="13"/>
        <v>Excelsa</v>
      </c>
      <c r="O269" t="str">
        <f t="shared" si="14"/>
        <v>Dark</v>
      </c>
      <c r="P269" t="str">
        <f>_xlfn.XLOOKUP(Table1[[#This Row],[Customer ID]],customers!$A$1:$A$1001,customers!$I$1:$I$1001,,0)</f>
        <v>Yes</v>
      </c>
    </row>
    <row r="270" spans="1:16" x14ac:dyDescent="0.25">
      <c r="A270" s="2" t="s">
        <v>2004</v>
      </c>
      <c r="B270" s="8">
        <v>43790</v>
      </c>
      <c r="C270" s="2" t="s">
        <v>1672</v>
      </c>
      <c r="D270" t="s">
        <v>6147</v>
      </c>
      <c r="E270" s="2">
        <v>2</v>
      </c>
      <c r="F270" s="2" t="str">
        <f>_xlfn.XLOOKUP(orders!C270,customers!$A$1:$A$1001,customers!$B$1:$B$1001,,0)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9">
        <f>INDEX(products!$A$1:$G$49,MATCH(orders!$D270,products!$A$1:$A$49,0),MATCH(orders!K$1,products!$A$1:$G$1,0))</f>
        <v>1</v>
      </c>
      <c r="L270" s="10">
        <f>INDEX(products!$A$1:$G$49,MATCH(orders!$D270,products!$A$1:$A$49,0),MATCH(orders!L$1,products!$A$1:$G$1,0))</f>
        <v>9.9499999999999993</v>
      </c>
      <c r="M270" s="10">
        <f t="shared" si="12"/>
        <v>19.899999999999999</v>
      </c>
      <c r="N270" t="str">
        <f t="shared" si="13"/>
        <v>Arabica</v>
      </c>
      <c r="O270" t="str">
        <f t="shared" si="14"/>
        <v>Dark</v>
      </c>
      <c r="P270" t="str">
        <f>_xlfn.XLOOKUP(Table1[[#This Row],[Customer ID]],customers!$A$1:$A$1001,customers!$I$1:$I$1001,,0)</f>
        <v>Yes</v>
      </c>
    </row>
    <row r="271" spans="1:16" x14ac:dyDescent="0.25">
      <c r="A271" s="2" t="s">
        <v>2009</v>
      </c>
      <c r="B271" s="8">
        <v>44333</v>
      </c>
      <c r="C271" s="2" t="s">
        <v>2010</v>
      </c>
      <c r="D271" t="s">
        <v>6154</v>
      </c>
      <c r="E271" s="2">
        <v>2</v>
      </c>
      <c r="F271" s="2" t="str">
        <f>_xlfn.XLOOKUP(orders!C271,customers!$A$1:$A$1001,customers!$B$1:$B$1001,,0)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9">
        <f>INDEX(products!$A$1:$G$49,MATCH(orders!$D271,products!$A$1:$A$49,0),MATCH(orders!K$1,products!$A$1:$G$1,0))</f>
        <v>0.2</v>
      </c>
      <c r="L271" s="10">
        <f>INDEX(products!$A$1:$G$49,MATCH(orders!$D271,products!$A$1:$A$49,0),MATCH(orders!L$1,products!$A$1:$G$1,0))</f>
        <v>2.9849999999999999</v>
      </c>
      <c r="M271" s="10">
        <f t="shared" si="12"/>
        <v>5.97</v>
      </c>
      <c r="N271" t="str">
        <f t="shared" si="13"/>
        <v>Arabica</v>
      </c>
      <c r="O271" t="str">
        <f t="shared" si="14"/>
        <v>Dark</v>
      </c>
      <c r="P271" t="str">
        <f>_xlfn.XLOOKUP(Table1[[#This Row],[Customer ID]],customers!$A$1:$A$1001,customers!$I$1:$I$1001,,0)</f>
        <v>No</v>
      </c>
    </row>
    <row r="272" spans="1:16" x14ac:dyDescent="0.25">
      <c r="A272" s="2" t="s">
        <v>2015</v>
      </c>
      <c r="B272" s="8">
        <v>43655</v>
      </c>
      <c r="C272" s="2" t="s">
        <v>2016</v>
      </c>
      <c r="D272" t="s">
        <v>6144</v>
      </c>
      <c r="E272" s="2">
        <v>1</v>
      </c>
      <c r="F272" s="2" t="str">
        <f>_xlfn.XLOOKUP(orders!C272,customers!$A$1:$A$1001,customers!$B$1:$B$1001,,0)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9">
        <f>INDEX(products!$A$1:$G$49,MATCH(orders!$D272,products!$A$1:$A$49,0),MATCH(orders!K$1,products!$A$1:$G$1,0))</f>
        <v>0.5</v>
      </c>
      <c r="L272" s="10">
        <f>INDEX(products!$A$1:$G$49,MATCH(orders!$D272,products!$A$1:$A$49,0),MATCH(orders!L$1,products!$A$1:$G$1,0))</f>
        <v>7.29</v>
      </c>
      <c r="M272" s="10">
        <f t="shared" si="12"/>
        <v>7.29</v>
      </c>
      <c r="N272" t="str">
        <f t="shared" si="13"/>
        <v>Excelsa</v>
      </c>
      <c r="O272" t="str">
        <f t="shared" si="14"/>
        <v>Dark</v>
      </c>
      <c r="P272" t="str">
        <f>_xlfn.XLOOKUP(Table1[[#This Row],[Customer ID]],customers!$A$1:$A$1001,customers!$I$1:$I$1001,,0)</f>
        <v>Yes</v>
      </c>
    </row>
    <row r="273" spans="1:16" x14ac:dyDescent="0.25">
      <c r="A273" s="2" t="s">
        <v>2019</v>
      </c>
      <c r="B273" s="8">
        <v>43971</v>
      </c>
      <c r="C273" s="2" t="s">
        <v>2020</v>
      </c>
      <c r="D273" t="s">
        <v>6154</v>
      </c>
      <c r="E273" s="2">
        <v>4</v>
      </c>
      <c r="F273" s="2" t="str">
        <f>_xlfn.XLOOKUP(orders!C273,customers!$A$1:$A$1001,customers!$B$1:$B$1001,,0)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9">
        <f>INDEX(products!$A$1:$G$49,MATCH(orders!$D273,products!$A$1:$A$49,0),MATCH(orders!K$1,products!$A$1:$G$1,0))</f>
        <v>0.2</v>
      </c>
      <c r="L273" s="10">
        <f>INDEX(products!$A$1:$G$49,MATCH(orders!$D273,products!$A$1:$A$49,0),MATCH(orders!L$1,products!$A$1:$G$1,0))</f>
        <v>2.9849999999999999</v>
      </c>
      <c r="M273" s="10">
        <f t="shared" si="12"/>
        <v>11.94</v>
      </c>
      <c r="N273" t="str">
        <f t="shared" si="13"/>
        <v>Arabica</v>
      </c>
      <c r="O273" t="str">
        <f t="shared" si="14"/>
        <v>Dark</v>
      </c>
      <c r="P273" t="str">
        <f>_xlfn.XLOOKUP(Table1[[#This Row],[Customer ID]],customers!$A$1:$A$1001,customers!$I$1:$I$1001,,0)</f>
        <v>Yes</v>
      </c>
    </row>
    <row r="274" spans="1:16" x14ac:dyDescent="0.25">
      <c r="A274" s="2" t="s">
        <v>2025</v>
      </c>
      <c r="B274" s="8">
        <v>44435</v>
      </c>
      <c r="C274" s="2" t="s">
        <v>2026</v>
      </c>
      <c r="D274" t="s">
        <v>6179</v>
      </c>
      <c r="E274" s="2">
        <v>6</v>
      </c>
      <c r="F274" s="2" t="str">
        <f>_xlfn.XLOOKUP(orders!C274,customers!$A$1:$A$1001,customers!$B$1:$B$1001,,0)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9">
        <f>INDEX(products!$A$1:$G$49,MATCH(orders!$D274,products!$A$1:$A$49,0),MATCH(orders!K$1,products!$A$1:$G$1,0))</f>
        <v>1</v>
      </c>
      <c r="L274" s="10">
        <f>INDEX(products!$A$1:$G$49,MATCH(orders!$D274,products!$A$1:$A$49,0),MATCH(orders!L$1,products!$A$1:$G$1,0))</f>
        <v>11.95</v>
      </c>
      <c r="M274" s="10">
        <f t="shared" si="12"/>
        <v>71.699999999999989</v>
      </c>
      <c r="N274" t="str">
        <f t="shared" si="13"/>
        <v>Robusta</v>
      </c>
      <c r="O274" t="str">
        <f t="shared" si="14"/>
        <v>Light</v>
      </c>
      <c r="P274" t="str">
        <f>_xlfn.XLOOKUP(Table1[[#This Row],[Customer ID]],customers!$A$1:$A$1001,customers!$I$1:$I$1001,,0)</f>
        <v>Yes</v>
      </c>
    </row>
    <row r="275" spans="1:16" x14ac:dyDescent="0.25">
      <c r="A275" s="2" t="s">
        <v>2032</v>
      </c>
      <c r="B275" s="8">
        <v>44681</v>
      </c>
      <c r="C275" s="2" t="s">
        <v>2033</v>
      </c>
      <c r="D275" t="s">
        <v>6167</v>
      </c>
      <c r="E275" s="2">
        <v>2</v>
      </c>
      <c r="F275" s="2" t="str">
        <f>_xlfn.XLOOKUP(orders!C275,customers!$A$1:$A$1001,customers!$B$1:$B$1001,,0)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9">
        <f>INDEX(products!$A$1:$G$49,MATCH(orders!$D275,products!$A$1:$A$49,0),MATCH(orders!K$1,products!$A$1:$G$1,0))</f>
        <v>0.2</v>
      </c>
      <c r="L275" s="10">
        <f>INDEX(products!$A$1:$G$49,MATCH(orders!$D275,products!$A$1:$A$49,0),MATCH(orders!L$1,products!$A$1:$G$1,0))</f>
        <v>3.8849999999999998</v>
      </c>
      <c r="M275" s="10">
        <f t="shared" si="12"/>
        <v>7.77</v>
      </c>
      <c r="N275" t="str">
        <f t="shared" si="13"/>
        <v>Arabica</v>
      </c>
      <c r="O275" t="str">
        <f t="shared" si="14"/>
        <v>Light</v>
      </c>
      <c r="P275" t="str">
        <f>_xlfn.XLOOKUP(Table1[[#This Row],[Customer ID]],customers!$A$1:$A$1001,customers!$I$1:$I$1001,,0)</f>
        <v>No</v>
      </c>
    </row>
    <row r="276" spans="1:16" x14ac:dyDescent="0.25">
      <c r="A276" s="2" t="s">
        <v>2038</v>
      </c>
      <c r="B276" s="8">
        <v>43985</v>
      </c>
      <c r="C276" s="2" t="s">
        <v>2039</v>
      </c>
      <c r="D276" t="s">
        <v>6175</v>
      </c>
      <c r="E276" s="2">
        <v>1</v>
      </c>
      <c r="F276" s="2" t="str">
        <f>_xlfn.XLOOKUP(orders!C276,customers!$A$1:$A$1001,customers!$B$1:$B$1001,,0)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9">
        <f>INDEX(products!$A$1:$G$49,MATCH(orders!$D276,products!$A$1:$A$49,0),MATCH(orders!K$1,products!$A$1:$G$1,0))</f>
        <v>2.5</v>
      </c>
      <c r="L276" s="10">
        <f>INDEX(products!$A$1:$G$49,MATCH(orders!$D276,products!$A$1:$A$49,0),MATCH(orders!L$1,products!$A$1:$G$1,0))</f>
        <v>25.874999999999996</v>
      </c>
      <c r="M276" s="10">
        <f t="shared" si="12"/>
        <v>25.874999999999996</v>
      </c>
      <c r="N276" t="str">
        <f t="shared" si="13"/>
        <v>Arabica</v>
      </c>
      <c r="O276" t="str">
        <f t="shared" si="14"/>
        <v>Medium</v>
      </c>
      <c r="P276" t="str">
        <f>_xlfn.XLOOKUP(Table1[[#This Row],[Customer ID]],customers!$A$1:$A$1001,customers!$I$1:$I$1001,,0)</f>
        <v>No</v>
      </c>
    </row>
    <row r="277" spans="1:16" x14ac:dyDescent="0.25">
      <c r="A277" s="2" t="s">
        <v>2044</v>
      </c>
      <c r="B277" s="8">
        <v>44725</v>
      </c>
      <c r="C277" s="2" t="s">
        <v>2045</v>
      </c>
      <c r="D277" t="s">
        <v>6148</v>
      </c>
      <c r="E277" s="2">
        <v>6</v>
      </c>
      <c r="F277" s="2" t="str">
        <f>_xlfn.XLOOKUP(orders!C277,customers!$A$1:$A$1001,customers!$B$1:$B$1001,,0)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9">
        <f>INDEX(products!$A$1:$G$49,MATCH(orders!$D277,products!$A$1:$A$49,0),MATCH(orders!K$1,products!$A$1:$G$1,0))</f>
        <v>2.5</v>
      </c>
      <c r="L277" s="10">
        <f>INDEX(products!$A$1:$G$49,MATCH(orders!$D277,products!$A$1:$A$49,0),MATCH(orders!L$1,products!$A$1:$G$1,0))</f>
        <v>34.154999999999994</v>
      </c>
      <c r="M277" s="10">
        <f t="shared" si="12"/>
        <v>204.92999999999995</v>
      </c>
      <c r="N277" t="str">
        <f t="shared" si="13"/>
        <v>Excelsa</v>
      </c>
      <c r="O277" t="str">
        <f t="shared" si="14"/>
        <v>Light</v>
      </c>
      <c r="P277" t="str">
        <f>_xlfn.XLOOKUP(Table1[[#This Row],[Customer ID]],customers!$A$1:$A$1001,customers!$I$1:$I$1001,,0)</f>
        <v>No</v>
      </c>
    </row>
    <row r="278" spans="1:16" x14ac:dyDescent="0.25">
      <c r="A278" s="2" t="s">
        <v>2050</v>
      </c>
      <c r="B278" s="8">
        <v>43992</v>
      </c>
      <c r="C278" s="2" t="s">
        <v>2051</v>
      </c>
      <c r="D278" t="s">
        <v>6142</v>
      </c>
      <c r="E278" s="2">
        <v>4</v>
      </c>
      <c r="F278" s="2" t="str">
        <f>_xlfn.XLOOKUP(orders!C278,customers!$A$1:$A$1001,customers!$B$1:$B$1001,,0)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9">
        <f>INDEX(products!$A$1:$G$49,MATCH(orders!$D278,products!$A$1:$A$49,0),MATCH(orders!K$1,products!$A$1:$G$1,0))</f>
        <v>2.5</v>
      </c>
      <c r="L278" s="10">
        <f>INDEX(products!$A$1:$G$49,MATCH(orders!$D278,products!$A$1:$A$49,0),MATCH(orders!L$1,products!$A$1:$G$1,0))</f>
        <v>27.484999999999996</v>
      </c>
      <c r="M278" s="10">
        <f t="shared" si="12"/>
        <v>109.93999999999998</v>
      </c>
      <c r="N278" t="str">
        <f t="shared" si="13"/>
        <v>Robusta</v>
      </c>
      <c r="O278" t="str">
        <f t="shared" si="14"/>
        <v>Light</v>
      </c>
      <c r="P278" t="str">
        <f>_xlfn.XLOOKUP(Table1[[#This Row],[Customer ID]],customers!$A$1:$A$1001,customers!$I$1:$I$1001,,0)</f>
        <v>Yes</v>
      </c>
    </row>
    <row r="279" spans="1:16" x14ac:dyDescent="0.25">
      <c r="A279" s="2" t="s">
        <v>2056</v>
      </c>
      <c r="B279" s="8">
        <v>44183</v>
      </c>
      <c r="C279" s="2" t="s">
        <v>2057</v>
      </c>
      <c r="D279" t="s">
        <v>6171</v>
      </c>
      <c r="E279" s="2">
        <v>6</v>
      </c>
      <c r="F279" s="2" t="str">
        <f>_xlfn.XLOOKUP(orders!C279,customers!$A$1:$A$1001,customers!$B$1:$B$1001,,0)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9">
        <f>INDEX(products!$A$1:$G$49,MATCH(orders!$D279,products!$A$1:$A$49,0),MATCH(orders!K$1,products!$A$1:$G$1,0))</f>
        <v>1</v>
      </c>
      <c r="L279" s="10">
        <f>INDEX(products!$A$1:$G$49,MATCH(orders!$D279,products!$A$1:$A$49,0),MATCH(orders!L$1,products!$A$1:$G$1,0))</f>
        <v>14.85</v>
      </c>
      <c r="M279" s="10">
        <f t="shared" si="12"/>
        <v>89.1</v>
      </c>
      <c r="N279" t="str">
        <f t="shared" si="13"/>
        <v>Excelsa</v>
      </c>
      <c r="O279" t="str">
        <f t="shared" si="14"/>
        <v>Light</v>
      </c>
      <c r="P279" t="str">
        <f>_xlfn.XLOOKUP(Table1[[#This Row],[Customer ID]],customers!$A$1:$A$1001,customers!$I$1:$I$1001,,0)</f>
        <v>No</v>
      </c>
    </row>
    <row r="280" spans="1:16" x14ac:dyDescent="0.25">
      <c r="A280" s="2" t="s">
        <v>2062</v>
      </c>
      <c r="B280" s="8">
        <v>43708</v>
      </c>
      <c r="C280" s="2" t="s">
        <v>2063</v>
      </c>
      <c r="D280" t="s">
        <v>6167</v>
      </c>
      <c r="E280" s="2">
        <v>2</v>
      </c>
      <c r="F280" s="2" t="str">
        <f>_xlfn.XLOOKUP(orders!C280,customers!$A$1:$A$1001,customers!$B$1:$B$1001,,0)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9">
        <f>INDEX(products!$A$1:$G$49,MATCH(orders!$D280,products!$A$1:$A$49,0),MATCH(orders!K$1,products!$A$1:$G$1,0))</f>
        <v>0.2</v>
      </c>
      <c r="L280" s="10">
        <f>INDEX(products!$A$1:$G$49,MATCH(orders!$D280,products!$A$1:$A$49,0),MATCH(orders!L$1,products!$A$1:$G$1,0))</f>
        <v>3.8849999999999998</v>
      </c>
      <c r="M280" s="10">
        <f t="shared" si="12"/>
        <v>7.77</v>
      </c>
      <c r="N280" t="str">
        <f t="shared" si="13"/>
        <v>Arabica</v>
      </c>
      <c r="O280" t="str">
        <f t="shared" si="14"/>
        <v>Light</v>
      </c>
      <c r="P280" t="str">
        <f>_xlfn.XLOOKUP(Table1[[#This Row],[Customer ID]],customers!$A$1:$A$1001,customers!$I$1:$I$1001,,0)</f>
        <v>Yes</v>
      </c>
    </row>
    <row r="281" spans="1:16" x14ac:dyDescent="0.25">
      <c r="A281" s="2" t="s">
        <v>2068</v>
      </c>
      <c r="B281" s="8">
        <v>43521</v>
      </c>
      <c r="C281" s="2" t="s">
        <v>2069</v>
      </c>
      <c r="D281" t="s">
        <v>6181</v>
      </c>
      <c r="E281" s="2">
        <v>1</v>
      </c>
      <c r="F281" s="2" t="str">
        <f>_xlfn.XLOOKUP(orders!C281,customers!$A$1:$A$1001,customers!$B$1:$B$1001,,0)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9">
        <f>INDEX(products!$A$1:$G$49,MATCH(orders!$D281,products!$A$1:$A$49,0),MATCH(orders!K$1,products!$A$1:$G$1,0))</f>
        <v>2.5</v>
      </c>
      <c r="L281" s="10">
        <f>INDEX(products!$A$1:$G$49,MATCH(orders!$D281,products!$A$1:$A$49,0),MATCH(orders!L$1,products!$A$1:$G$1,0))</f>
        <v>33.464999999999996</v>
      </c>
      <c r="M281" s="10">
        <f t="shared" si="12"/>
        <v>33.464999999999996</v>
      </c>
      <c r="N281" t="str">
        <f t="shared" si="13"/>
        <v>Liberica</v>
      </c>
      <c r="O281" t="str">
        <f t="shared" si="14"/>
        <v>Medium</v>
      </c>
      <c r="P281" t="str">
        <f>_xlfn.XLOOKUP(Table1[[#This Row],[Customer ID]],customers!$A$1:$A$1001,customers!$I$1:$I$1001,,0)</f>
        <v>Yes</v>
      </c>
    </row>
    <row r="282" spans="1:16" x14ac:dyDescent="0.25">
      <c r="A282" s="2" t="s">
        <v>2074</v>
      </c>
      <c r="B282" s="8">
        <v>44234</v>
      </c>
      <c r="C282" s="2" t="s">
        <v>2075</v>
      </c>
      <c r="D282" t="s">
        <v>6139</v>
      </c>
      <c r="E282" s="2">
        <v>5</v>
      </c>
      <c r="F282" s="2" t="str">
        <f>_xlfn.XLOOKUP(orders!C282,customers!$A$1:$A$1001,customers!$B$1:$B$1001,,0)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9">
        <f>INDEX(products!$A$1:$G$49,MATCH(orders!$D282,products!$A$1:$A$49,0),MATCH(orders!K$1,products!$A$1:$G$1,0))</f>
        <v>0.5</v>
      </c>
      <c r="L282" s="10">
        <f>INDEX(products!$A$1:$G$49,MATCH(orders!$D282,products!$A$1:$A$49,0),MATCH(orders!L$1,products!$A$1:$G$1,0))</f>
        <v>8.25</v>
      </c>
      <c r="M282" s="10">
        <f t="shared" si="12"/>
        <v>41.25</v>
      </c>
      <c r="N282" t="str">
        <f t="shared" si="13"/>
        <v>Excelsa</v>
      </c>
      <c r="O282" t="str">
        <f t="shared" si="14"/>
        <v>Medium</v>
      </c>
      <c r="P282" t="str">
        <f>_xlfn.XLOOKUP(Table1[[#This Row],[Customer ID]],customers!$A$1:$A$1001,customers!$I$1:$I$1001,,0)</f>
        <v>Yes</v>
      </c>
    </row>
    <row r="283" spans="1:16" x14ac:dyDescent="0.25">
      <c r="A283" s="2" t="s">
        <v>2079</v>
      </c>
      <c r="B283" s="8">
        <v>44210</v>
      </c>
      <c r="C283" s="2" t="s">
        <v>2080</v>
      </c>
      <c r="D283" t="s">
        <v>6171</v>
      </c>
      <c r="E283" s="2">
        <v>4</v>
      </c>
      <c r="F283" s="2" t="str">
        <f>_xlfn.XLOOKUP(orders!C283,customers!$A$1:$A$1001,customers!$B$1:$B$1001,,0)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9">
        <f>INDEX(products!$A$1:$G$49,MATCH(orders!$D283,products!$A$1:$A$49,0),MATCH(orders!K$1,products!$A$1:$G$1,0))</f>
        <v>1</v>
      </c>
      <c r="L283" s="10">
        <f>INDEX(products!$A$1:$G$49,MATCH(orders!$D283,products!$A$1:$A$49,0),MATCH(orders!L$1,products!$A$1:$G$1,0))</f>
        <v>14.85</v>
      </c>
      <c r="M283" s="10">
        <f t="shared" si="12"/>
        <v>59.4</v>
      </c>
      <c r="N283" t="str">
        <f t="shared" si="13"/>
        <v>Excelsa</v>
      </c>
      <c r="O283" t="str">
        <f t="shared" si="14"/>
        <v>Light</v>
      </c>
      <c r="P283" t="str">
        <f>_xlfn.XLOOKUP(Table1[[#This Row],[Customer ID]],customers!$A$1:$A$1001,customers!$I$1:$I$1001,,0)</f>
        <v>Yes</v>
      </c>
    </row>
    <row r="284" spans="1:16" x14ac:dyDescent="0.25">
      <c r="A284" s="2" t="s">
        <v>2085</v>
      </c>
      <c r="B284" s="8">
        <v>43520</v>
      </c>
      <c r="C284" s="2" t="s">
        <v>2086</v>
      </c>
      <c r="D284" t="s">
        <v>6180</v>
      </c>
      <c r="E284" s="2">
        <v>1</v>
      </c>
      <c r="F284" s="2" t="str">
        <f>_xlfn.XLOOKUP(orders!C284,customers!$A$1:$A$1001,customers!$B$1:$B$1001,,0)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9">
        <f>INDEX(products!$A$1:$G$49,MATCH(orders!$D284,products!$A$1:$A$49,0),MATCH(orders!K$1,products!$A$1:$G$1,0))</f>
        <v>0.5</v>
      </c>
      <c r="L284" s="10">
        <f>INDEX(products!$A$1:$G$49,MATCH(orders!$D284,products!$A$1:$A$49,0),MATCH(orders!L$1,products!$A$1:$G$1,0))</f>
        <v>7.77</v>
      </c>
      <c r="M284" s="10">
        <f t="shared" si="12"/>
        <v>7.77</v>
      </c>
      <c r="N284" t="str">
        <f t="shared" si="13"/>
        <v>Arabica</v>
      </c>
      <c r="O284" t="str">
        <f t="shared" si="14"/>
        <v>Light</v>
      </c>
      <c r="P284" t="str">
        <f>_xlfn.XLOOKUP(Table1[[#This Row],[Customer ID]],customers!$A$1:$A$1001,customers!$I$1:$I$1001,,0)</f>
        <v>No</v>
      </c>
    </row>
    <row r="285" spans="1:16" x14ac:dyDescent="0.25">
      <c r="A285" s="2" t="s">
        <v>2091</v>
      </c>
      <c r="B285" s="8">
        <v>43639</v>
      </c>
      <c r="C285" s="2" t="s">
        <v>2092</v>
      </c>
      <c r="D285" t="s">
        <v>6172</v>
      </c>
      <c r="E285" s="2">
        <v>1</v>
      </c>
      <c r="F285" s="2" t="str">
        <f>_xlfn.XLOOKUP(orders!C285,customers!$A$1:$A$1001,customers!$B$1:$B$1001,,0)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9">
        <f>INDEX(products!$A$1:$G$49,MATCH(orders!$D285,products!$A$1:$A$49,0),MATCH(orders!K$1,products!$A$1:$G$1,0))</f>
        <v>0.5</v>
      </c>
      <c r="L285" s="10">
        <f>INDEX(products!$A$1:$G$49,MATCH(orders!$D285,products!$A$1:$A$49,0),MATCH(orders!L$1,products!$A$1:$G$1,0))</f>
        <v>5.3699999999999992</v>
      </c>
      <c r="M285" s="10">
        <f t="shared" si="12"/>
        <v>5.3699999999999992</v>
      </c>
      <c r="N285" t="str">
        <f t="shared" si="13"/>
        <v>Robusta</v>
      </c>
      <c r="O285" t="str">
        <f t="shared" si="14"/>
        <v>Dark</v>
      </c>
      <c r="P285" t="str">
        <f>_xlfn.XLOOKUP(Table1[[#This Row],[Customer ID]],customers!$A$1:$A$1001,customers!$I$1:$I$1001,,0)</f>
        <v>Yes</v>
      </c>
    </row>
    <row r="286" spans="1:16" x14ac:dyDescent="0.25">
      <c r="A286" s="2" t="s">
        <v>2097</v>
      </c>
      <c r="B286" s="8">
        <v>43960</v>
      </c>
      <c r="C286" s="2" t="s">
        <v>2098</v>
      </c>
      <c r="D286" t="s">
        <v>6166</v>
      </c>
      <c r="E286" s="2">
        <v>3</v>
      </c>
      <c r="F286" s="2" t="str">
        <f>_xlfn.XLOOKUP(orders!C286,customers!$A$1:$A$1001,customers!$B$1:$B$1001,,0)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9">
        <f>INDEX(products!$A$1:$G$49,MATCH(orders!$D286,products!$A$1:$A$49,0),MATCH(orders!K$1,products!$A$1:$G$1,0))</f>
        <v>2.5</v>
      </c>
      <c r="L286" s="10">
        <f>INDEX(products!$A$1:$G$49,MATCH(orders!$D286,products!$A$1:$A$49,0),MATCH(orders!L$1,products!$A$1:$G$1,0))</f>
        <v>31.624999999999996</v>
      </c>
      <c r="M286" s="10">
        <f t="shared" si="12"/>
        <v>94.874999999999986</v>
      </c>
      <c r="N286" t="str">
        <f t="shared" si="13"/>
        <v>Excelsa</v>
      </c>
      <c r="O286" t="str">
        <f t="shared" si="14"/>
        <v>Medium</v>
      </c>
      <c r="P286" t="str">
        <f>_xlfn.XLOOKUP(Table1[[#This Row],[Customer ID]],customers!$A$1:$A$1001,customers!$I$1:$I$1001,,0)</f>
        <v>No</v>
      </c>
    </row>
    <row r="287" spans="1:16" x14ac:dyDescent="0.25">
      <c r="A287" s="2" t="s">
        <v>2102</v>
      </c>
      <c r="B287" s="8">
        <v>44030</v>
      </c>
      <c r="C287" s="2" t="s">
        <v>2103</v>
      </c>
      <c r="D287" t="s">
        <v>6164</v>
      </c>
      <c r="E287" s="2">
        <v>1</v>
      </c>
      <c r="F287" s="2" t="str">
        <f>_xlfn.XLOOKUP(orders!C287,customers!$A$1:$A$1001,customers!$B$1:$B$1001,,0)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9">
        <f>INDEX(products!$A$1:$G$49,MATCH(orders!$D287,products!$A$1:$A$49,0),MATCH(orders!K$1,products!$A$1:$G$1,0))</f>
        <v>2.5</v>
      </c>
      <c r="L287" s="10">
        <f>INDEX(products!$A$1:$G$49,MATCH(orders!$D287,products!$A$1:$A$49,0),MATCH(orders!L$1,products!$A$1:$G$1,0))</f>
        <v>36.454999999999998</v>
      </c>
      <c r="M287" s="10">
        <f t="shared" si="12"/>
        <v>36.454999999999998</v>
      </c>
      <c r="N287" t="str">
        <f t="shared" si="13"/>
        <v>Liberica</v>
      </c>
      <c r="O287" t="str">
        <f t="shared" si="14"/>
        <v>Light</v>
      </c>
      <c r="P287" t="str">
        <f>_xlfn.XLOOKUP(Table1[[#This Row],[Customer ID]],customers!$A$1:$A$1001,customers!$I$1:$I$1001,,0)</f>
        <v>No</v>
      </c>
    </row>
    <row r="288" spans="1:16" x14ac:dyDescent="0.25">
      <c r="A288" s="2" t="s">
        <v>2107</v>
      </c>
      <c r="B288" s="8">
        <v>43755</v>
      </c>
      <c r="C288" s="2" t="s">
        <v>2108</v>
      </c>
      <c r="D288" t="s">
        <v>6152</v>
      </c>
      <c r="E288" s="2">
        <v>4</v>
      </c>
      <c r="F288" s="2" t="str">
        <f>_xlfn.XLOOKUP(orders!C288,customers!$A$1:$A$1001,customers!$B$1:$B$1001,,0)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9">
        <f>INDEX(products!$A$1:$G$49,MATCH(orders!$D288,products!$A$1:$A$49,0),MATCH(orders!K$1,products!$A$1:$G$1,0))</f>
        <v>0.2</v>
      </c>
      <c r="L288" s="10">
        <f>INDEX(products!$A$1:$G$49,MATCH(orders!$D288,products!$A$1:$A$49,0),MATCH(orders!L$1,products!$A$1:$G$1,0))</f>
        <v>3.375</v>
      </c>
      <c r="M288" s="10">
        <f t="shared" si="12"/>
        <v>13.5</v>
      </c>
      <c r="N288" t="str">
        <f t="shared" si="13"/>
        <v>Arabica</v>
      </c>
      <c r="O288" t="str">
        <f t="shared" si="14"/>
        <v>Medium</v>
      </c>
      <c r="P288" t="str">
        <f>_xlfn.XLOOKUP(Table1[[#This Row],[Customer ID]],customers!$A$1:$A$1001,customers!$I$1:$I$1001,,0)</f>
        <v>Yes</v>
      </c>
    </row>
    <row r="289" spans="1:16" x14ac:dyDescent="0.25">
      <c r="A289" s="2" t="s">
        <v>2112</v>
      </c>
      <c r="B289" s="8">
        <v>44697</v>
      </c>
      <c r="C289" s="2" t="s">
        <v>2113</v>
      </c>
      <c r="D289" t="s">
        <v>6178</v>
      </c>
      <c r="E289" s="2">
        <v>4</v>
      </c>
      <c r="F289" s="2" t="str">
        <f>_xlfn.XLOOKUP(orders!C289,customers!$A$1:$A$1001,customers!$B$1:$B$1001,,0)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9">
        <f>INDEX(products!$A$1:$G$49,MATCH(orders!$D289,products!$A$1:$A$49,0),MATCH(orders!K$1,products!$A$1:$G$1,0))</f>
        <v>0.2</v>
      </c>
      <c r="L289" s="10">
        <f>INDEX(products!$A$1:$G$49,MATCH(orders!$D289,products!$A$1:$A$49,0),MATCH(orders!L$1,products!$A$1:$G$1,0))</f>
        <v>3.5849999999999995</v>
      </c>
      <c r="M289" s="10">
        <f t="shared" si="12"/>
        <v>14.339999999999998</v>
      </c>
      <c r="N289" t="str">
        <f t="shared" si="13"/>
        <v>Robusta</v>
      </c>
      <c r="O289" t="str">
        <f t="shared" si="14"/>
        <v>Light</v>
      </c>
      <c r="P289" t="str">
        <f>_xlfn.XLOOKUP(Table1[[#This Row],[Customer ID]],customers!$A$1:$A$1001,customers!$I$1:$I$1001,,0)</f>
        <v>No</v>
      </c>
    </row>
    <row r="290" spans="1:16" x14ac:dyDescent="0.25">
      <c r="A290" s="2" t="s">
        <v>2118</v>
      </c>
      <c r="B290" s="8">
        <v>44279</v>
      </c>
      <c r="C290" s="2" t="s">
        <v>2119</v>
      </c>
      <c r="D290" t="s">
        <v>6139</v>
      </c>
      <c r="E290" s="2">
        <v>1</v>
      </c>
      <c r="F290" s="2" t="str">
        <f>_xlfn.XLOOKUP(orders!C290,customers!$A$1:$A$1001,customers!$B$1:$B$1001,,0)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9">
        <f>INDEX(products!$A$1:$G$49,MATCH(orders!$D290,products!$A$1:$A$49,0),MATCH(orders!K$1,products!$A$1:$G$1,0))</f>
        <v>0.5</v>
      </c>
      <c r="L290" s="10">
        <f>INDEX(products!$A$1:$G$49,MATCH(orders!$D290,products!$A$1:$A$49,0),MATCH(orders!L$1,products!$A$1:$G$1,0))</f>
        <v>8.25</v>
      </c>
      <c r="M290" s="10">
        <f t="shared" si="12"/>
        <v>8.25</v>
      </c>
      <c r="N290" t="str">
        <f t="shared" si="13"/>
        <v>Excelsa</v>
      </c>
      <c r="O290" t="str">
        <f t="shared" si="14"/>
        <v>Medium</v>
      </c>
      <c r="P290" t="str">
        <f>_xlfn.XLOOKUP(Table1[[#This Row],[Customer ID]],customers!$A$1:$A$1001,customers!$I$1:$I$1001,,0)</f>
        <v>Yes</v>
      </c>
    </row>
    <row r="291" spans="1:16" x14ac:dyDescent="0.25">
      <c r="A291" s="2" t="s">
        <v>2123</v>
      </c>
      <c r="B291" s="8">
        <v>43772</v>
      </c>
      <c r="C291" s="2" t="s">
        <v>2124</v>
      </c>
      <c r="D291" t="s">
        <v>6163</v>
      </c>
      <c r="E291" s="2">
        <v>5</v>
      </c>
      <c r="F291" s="2" t="str">
        <f>_xlfn.XLOOKUP(orders!C291,customers!$A$1:$A$1001,customers!$B$1:$B$1001,,0)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9">
        <f>INDEX(products!$A$1:$G$49,MATCH(orders!$D291,products!$A$1:$A$49,0),MATCH(orders!K$1,products!$A$1:$G$1,0))</f>
        <v>0.2</v>
      </c>
      <c r="L291" s="10">
        <f>INDEX(products!$A$1:$G$49,MATCH(orders!$D291,products!$A$1:$A$49,0),MATCH(orders!L$1,products!$A$1:$G$1,0))</f>
        <v>2.6849999999999996</v>
      </c>
      <c r="M291" s="10">
        <f t="shared" si="12"/>
        <v>13.424999999999997</v>
      </c>
      <c r="N291" t="str">
        <f t="shared" si="13"/>
        <v>Robusta</v>
      </c>
      <c r="O291" t="str">
        <f t="shared" si="14"/>
        <v>Dark</v>
      </c>
      <c r="P291" t="str">
        <f>_xlfn.XLOOKUP(Table1[[#This Row],[Customer ID]],customers!$A$1:$A$1001,customers!$I$1:$I$1001,,0)</f>
        <v>Yes</v>
      </c>
    </row>
    <row r="292" spans="1:16" x14ac:dyDescent="0.25">
      <c r="A292" s="2" t="s">
        <v>2127</v>
      </c>
      <c r="B292" s="8">
        <v>44497</v>
      </c>
      <c r="C292" s="2" t="s">
        <v>2128</v>
      </c>
      <c r="D292" t="s">
        <v>6147</v>
      </c>
      <c r="E292" s="2">
        <v>5</v>
      </c>
      <c r="F292" s="2" t="str">
        <f>_xlfn.XLOOKUP(orders!C292,customers!$A$1:$A$1001,customers!$B$1:$B$1001,,0)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9">
        <f>INDEX(products!$A$1:$G$49,MATCH(orders!$D292,products!$A$1:$A$49,0),MATCH(orders!K$1,products!$A$1:$G$1,0))</f>
        <v>1</v>
      </c>
      <c r="L292" s="10">
        <f>INDEX(products!$A$1:$G$49,MATCH(orders!$D292,products!$A$1:$A$49,0),MATCH(orders!L$1,products!$A$1:$G$1,0))</f>
        <v>9.9499999999999993</v>
      </c>
      <c r="M292" s="10">
        <f t="shared" si="12"/>
        <v>49.75</v>
      </c>
      <c r="N292" t="str">
        <f t="shared" si="13"/>
        <v>Arabica</v>
      </c>
      <c r="O292" t="str">
        <f t="shared" si="14"/>
        <v>Dark</v>
      </c>
      <c r="P292" t="str">
        <f>_xlfn.XLOOKUP(Table1[[#This Row],[Customer ID]],customers!$A$1:$A$1001,customers!$I$1:$I$1001,,0)</f>
        <v>No</v>
      </c>
    </row>
    <row r="293" spans="1:16" x14ac:dyDescent="0.25">
      <c r="A293" s="2" t="s">
        <v>2133</v>
      </c>
      <c r="B293" s="8">
        <v>44181</v>
      </c>
      <c r="C293" s="2" t="s">
        <v>2134</v>
      </c>
      <c r="D293" t="s">
        <v>6139</v>
      </c>
      <c r="E293" s="2">
        <v>2</v>
      </c>
      <c r="F293" s="2" t="str">
        <f>_xlfn.XLOOKUP(orders!C293,customers!$A$1:$A$1001,customers!$B$1:$B$1001,,0)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9">
        <f>INDEX(products!$A$1:$G$49,MATCH(orders!$D293,products!$A$1:$A$49,0),MATCH(orders!K$1,products!$A$1:$G$1,0))</f>
        <v>0.5</v>
      </c>
      <c r="L293" s="10">
        <f>INDEX(products!$A$1:$G$49,MATCH(orders!$D293,products!$A$1:$A$49,0),MATCH(orders!L$1,products!$A$1:$G$1,0))</f>
        <v>8.25</v>
      </c>
      <c r="M293" s="10">
        <f t="shared" si="12"/>
        <v>16.5</v>
      </c>
      <c r="N293" t="str">
        <f t="shared" si="13"/>
        <v>Excelsa</v>
      </c>
      <c r="O293" t="str">
        <f t="shared" si="14"/>
        <v>Medium</v>
      </c>
      <c r="P293" t="str">
        <f>_xlfn.XLOOKUP(Table1[[#This Row],[Customer ID]],customers!$A$1:$A$1001,customers!$I$1:$I$1001,,0)</f>
        <v>No</v>
      </c>
    </row>
    <row r="294" spans="1:16" x14ac:dyDescent="0.25">
      <c r="A294" s="2" t="s">
        <v>2137</v>
      </c>
      <c r="B294" s="8">
        <v>44529</v>
      </c>
      <c r="C294" s="2" t="s">
        <v>2138</v>
      </c>
      <c r="D294" t="s">
        <v>6158</v>
      </c>
      <c r="E294" s="2">
        <v>3</v>
      </c>
      <c r="F294" s="2" t="str">
        <f>_xlfn.XLOOKUP(orders!C294,customers!$A$1:$A$1001,customers!$B$1:$B$1001,,0)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9">
        <f>INDEX(products!$A$1:$G$49,MATCH(orders!$D294,products!$A$1:$A$49,0),MATCH(orders!K$1,products!$A$1:$G$1,0))</f>
        <v>0.5</v>
      </c>
      <c r="L294" s="10">
        <f>INDEX(products!$A$1:$G$49,MATCH(orders!$D294,products!$A$1:$A$49,0),MATCH(orders!L$1,products!$A$1:$G$1,0))</f>
        <v>5.97</v>
      </c>
      <c r="M294" s="10">
        <f t="shared" si="12"/>
        <v>17.91</v>
      </c>
      <c r="N294" t="str">
        <f t="shared" si="13"/>
        <v>Arabica</v>
      </c>
      <c r="O294" t="str">
        <f t="shared" si="14"/>
        <v>Dark</v>
      </c>
      <c r="P294" t="str">
        <f>_xlfn.XLOOKUP(Table1[[#This Row],[Customer ID]],customers!$A$1:$A$1001,customers!$I$1:$I$1001,,0)</f>
        <v>No</v>
      </c>
    </row>
    <row r="295" spans="1:16" x14ac:dyDescent="0.25">
      <c r="A295" s="2" t="s">
        <v>2142</v>
      </c>
      <c r="B295" s="8">
        <v>44275</v>
      </c>
      <c r="C295" s="2" t="s">
        <v>2143</v>
      </c>
      <c r="D295" t="s">
        <v>6158</v>
      </c>
      <c r="E295" s="2">
        <v>5</v>
      </c>
      <c r="F295" s="2" t="str">
        <f>_xlfn.XLOOKUP(orders!C295,customers!$A$1:$A$1001,customers!$B$1:$B$1001,,0)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9">
        <f>INDEX(products!$A$1:$G$49,MATCH(orders!$D295,products!$A$1:$A$49,0),MATCH(orders!K$1,products!$A$1:$G$1,0))</f>
        <v>0.5</v>
      </c>
      <c r="L295" s="10">
        <f>INDEX(products!$A$1:$G$49,MATCH(orders!$D295,products!$A$1:$A$49,0),MATCH(orders!L$1,products!$A$1:$G$1,0))</f>
        <v>5.97</v>
      </c>
      <c r="M295" s="10">
        <f t="shared" si="12"/>
        <v>29.849999999999998</v>
      </c>
      <c r="N295" t="str">
        <f t="shared" si="13"/>
        <v>Arabica</v>
      </c>
      <c r="O295" t="str">
        <f t="shared" si="14"/>
        <v>Dark</v>
      </c>
      <c r="P295" t="str">
        <f>_xlfn.XLOOKUP(Table1[[#This Row],[Customer ID]],customers!$A$1:$A$1001,customers!$I$1:$I$1001,,0)</f>
        <v>No</v>
      </c>
    </row>
    <row r="296" spans="1:16" x14ac:dyDescent="0.25">
      <c r="A296" s="2" t="s">
        <v>2148</v>
      </c>
      <c r="B296" s="8">
        <v>44659</v>
      </c>
      <c r="C296" s="2" t="s">
        <v>2149</v>
      </c>
      <c r="D296" t="s">
        <v>6171</v>
      </c>
      <c r="E296" s="2">
        <v>3</v>
      </c>
      <c r="F296" s="2" t="str">
        <f>_xlfn.XLOOKUP(orders!C296,customers!$A$1:$A$1001,customers!$B$1:$B$1001,,0)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9">
        <f>INDEX(products!$A$1:$G$49,MATCH(orders!$D296,products!$A$1:$A$49,0),MATCH(orders!K$1,products!$A$1:$G$1,0))</f>
        <v>1</v>
      </c>
      <c r="L296" s="10">
        <f>INDEX(products!$A$1:$G$49,MATCH(orders!$D296,products!$A$1:$A$49,0),MATCH(orders!L$1,products!$A$1:$G$1,0))</f>
        <v>14.85</v>
      </c>
      <c r="M296" s="10">
        <f t="shared" si="12"/>
        <v>44.55</v>
      </c>
      <c r="N296" t="str">
        <f t="shared" si="13"/>
        <v>Excelsa</v>
      </c>
      <c r="O296" t="str">
        <f t="shared" si="14"/>
        <v>Light</v>
      </c>
      <c r="P296" t="str">
        <f>_xlfn.XLOOKUP(Table1[[#This Row],[Customer ID]],customers!$A$1:$A$1001,customers!$I$1:$I$1001,,0)</f>
        <v>No</v>
      </c>
    </row>
    <row r="297" spans="1:16" x14ac:dyDescent="0.25">
      <c r="A297" s="2" t="s">
        <v>2153</v>
      </c>
      <c r="B297" s="8">
        <v>44057</v>
      </c>
      <c r="C297" s="2" t="s">
        <v>2154</v>
      </c>
      <c r="D297" t="s">
        <v>6141</v>
      </c>
      <c r="E297" s="2">
        <v>2</v>
      </c>
      <c r="F297" s="2" t="str">
        <f>_xlfn.XLOOKUP(orders!C297,customers!$A$1:$A$1001,customers!$B$1:$B$1001,,0)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9">
        <f>INDEX(products!$A$1:$G$49,MATCH(orders!$D297,products!$A$1:$A$49,0),MATCH(orders!K$1,products!$A$1:$G$1,0))</f>
        <v>1</v>
      </c>
      <c r="L297" s="10">
        <f>INDEX(products!$A$1:$G$49,MATCH(orders!$D297,products!$A$1:$A$49,0),MATCH(orders!L$1,products!$A$1:$G$1,0))</f>
        <v>13.75</v>
      </c>
      <c r="M297" s="10">
        <f t="shared" si="12"/>
        <v>27.5</v>
      </c>
      <c r="N297" t="str">
        <f t="shared" si="13"/>
        <v>Excelsa</v>
      </c>
      <c r="O297" t="str">
        <f t="shared" si="14"/>
        <v>Medium</v>
      </c>
      <c r="P297" t="str">
        <f>_xlfn.XLOOKUP(Table1[[#This Row],[Customer ID]],customers!$A$1:$A$1001,customers!$I$1:$I$1001,,0)</f>
        <v>No</v>
      </c>
    </row>
    <row r="298" spans="1:16" x14ac:dyDescent="0.25">
      <c r="A298" s="2" t="s">
        <v>2157</v>
      </c>
      <c r="B298" s="8">
        <v>43597</v>
      </c>
      <c r="C298" s="2" t="s">
        <v>2158</v>
      </c>
      <c r="D298" t="s">
        <v>6146</v>
      </c>
      <c r="E298" s="2">
        <v>6</v>
      </c>
      <c r="F298" s="2" t="str">
        <f>_xlfn.XLOOKUP(orders!C298,customers!$A$1:$A$1001,customers!$B$1:$B$1001,,0)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9">
        <f>INDEX(products!$A$1:$G$49,MATCH(orders!$D298,products!$A$1:$A$49,0),MATCH(orders!K$1,products!$A$1:$G$1,0))</f>
        <v>0.5</v>
      </c>
      <c r="L298" s="10">
        <f>INDEX(products!$A$1:$G$49,MATCH(orders!$D298,products!$A$1:$A$49,0),MATCH(orders!L$1,products!$A$1:$G$1,0))</f>
        <v>5.97</v>
      </c>
      <c r="M298" s="10">
        <f t="shared" si="12"/>
        <v>35.82</v>
      </c>
      <c r="N298" t="str">
        <f t="shared" si="13"/>
        <v>Robusta</v>
      </c>
      <c r="O298" t="str">
        <f t="shared" si="14"/>
        <v>Medium</v>
      </c>
      <c r="P298" t="str">
        <f>_xlfn.XLOOKUP(Table1[[#This Row],[Customer ID]],customers!$A$1:$A$1001,customers!$I$1:$I$1001,,0)</f>
        <v>Yes</v>
      </c>
    </row>
    <row r="299" spans="1:16" x14ac:dyDescent="0.25">
      <c r="A299" s="2" t="s">
        <v>2163</v>
      </c>
      <c r="B299" s="8">
        <v>44258</v>
      </c>
      <c r="C299" s="2" t="s">
        <v>2164</v>
      </c>
      <c r="D299" t="s">
        <v>6172</v>
      </c>
      <c r="E299" s="2">
        <v>3</v>
      </c>
      <c r="F299" s="2" t="str">
        <f>_xlfn.XLOOKUP(orders!C299,customers!$A$1:$A$1001,customers!$B$1:$B$1001,,0)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9">
        <f>INDEX(products!$A$1:$G$49,MATCH(orders!$D299,products!$A$1:$A$49,0),MATCH(orders!K$1,products!$A$1:$G$1,0))</f>
        <v>0.5</v>
      </c>
      <c r="L299" s="10">
        <f>INDEX(products!$A$1:$G$49,MATCH(orders!$D299,products!$A$1:$A$49,0),MATCH(orders!L$1,products!$A$1:$G$1,0))</f>
        <v>5.3699999999999992</v>
      </c>
      <c r="M299" s="10">
        <f t="shared" si="12"/>
        <v>16.11</v>
      </c>
      <c r="N299" t="str">
        <f t="shared" si="13"/>
        <v>Robusta</v>
      </c>
      <c r="O299" t="str">
        <f t="shared" si="14"/>
        <v>Dark</v>
      </c>
      <c r="P299" t="str">
        <f>_xlfn.XLOOKUP(Table1[[#This Row],[Customer ID]],customers!$A$1:$A$1001,customers!$I$1:$I$1001,,0)</f>
        <v>Yes</v>
      </c>
    </row>
    <row r="300" spans="1:16" x14ac:dyDescent="0.25">
      <c r="A300" s="2" t="s">
        <v>2169</v>
      </c>
      <c r="B300" s="8">
        <v>43872</v>
      </c>
      <c r="C300" s="2" t="s">
        <v>2170</v>
      </c>
      <c r="D300" t="s">
        <v>6184</v>
      </c>
      <c r="E300" s="2">
        <v>6</v>
      </c>
      <c r="F300" s="2" t="str">
        <f>_xlfn.XLOOKUP(orders!C300,customers!$A$1:$A$1001,customers!$B$1:$B$1001,,0)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9">
        <f>INDEX(products!$A$1:$G$49,MATCH(orders!$D300,products!$A$1:$A$49,0),MATCH(orders!K$1,products!$A$1:$G$1,0))</f>
        <v>0.2</v>
      </c>
      <c r="L300" s="10">
        <f>INDEX(products!$A$1:$G$49,MATCH(orders!$D300,products!$A$1:$A$49,0),MATCH(orders!L$1,products!$A$1:$G$1,0))</f>
        <v>4.4550000000000001</v>
      </c>
      <c r="M300" s="10">
        <f t="shared" si="12"/>
        <v>26.73</v>
      </c>
      <c r="N300" t="str">
        <f t="shared" si="13"/>
        <v>Excelsa</v>
      </c>
      <c r="O300" t="str">
        <f t="shared" si="14"/>
        <v>Light</v>
      </c>
      <c r="P300" t="str">
        <f>_xlfn.XLOOKUP(Table1[[#This Row],[Customer ID]],customers!$A$1:$A$1001,customers!$I$1:$I$1001,,0)</f>
        <v>Yes</v>
      </c>
    </row>
    <row r="301" spans="1:16" x14ac:dyDescent="0.25">
      <c r="A301" s="2" t="s">
        <v>2175</v>
      </c>
      <c r="B301" s="8">
        <v>43582</v>
      </c>
      <c r="C301" s="2" t="s">
        <v>2176</v>
      </c>
      <c r="D301" t="s">
        <v>6148</v>
      </c>
      <c r="E301" s="2">
        <v>6</v>
      </c>
      <c r="F301" s="2" t="str">
        <f>_xlfn.XLOOKUP(orders!C301,customers!$A$1:$A$1001,customers!$B$1:$B$1001,,0)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9">
        <f>INDEX(products!$A$1:$G$49,MATCH(orders!$D301,products!$A$1:$A$49,0),MATCH(orders!K$1,products!$A$1:$G$1,0))</f>
        <v>2.5</v>
      </c>
      <c r="L301" s="10">
        <f>INDEX(products!$A$1:$G$49,MATCH(orders!$D301,products!$A$1:$A$49,0),MATCH(orders!L$1,products!$A$1:$G$1,0))</f>
        <v>34.154999999999994</v>
      </c>
      <c r="M301" s="10">
        <f t="shared" si="12"/>
        <v>204.92999999999995</v>
      </c>
      <c r="N301" t="str">
        <f t="shared" si="13"/>
        <v>Excelsa</v>
      </c>
      <c r="O301" t="str">
        <f t="shared" si="14"/>
        <v>Light</v>
      </c>
      <c r="P301" t="str">
        <f>_xlfn.XLOOKUP(Table1[[#This Row],[Customer ID]],customers!$A$1:$A$1001,customers!$I$1:$I$1001,,0)</f>
        <v>Yes</v>
      </c>
    </row>
    <row r="302" spans="1:16" x14ac:dyDescent="0.25">
      <c r="A302" s="2" t="s">
        <v>2181</v>
      </c>
      <c r="B302" s="8">
        <v>44646</v>
      </c>
      <c r="C302" s="2" t="s">
        <v>2182</v>
      </c>
      <c r="D302" t="s">
        <v>6140</v>
      </c>
      <c r="E302" s="2">
        <v>3</v>
      </c>
      <c r="F302" s="2" t="str">
        <f>_xlfn.XLOOKUP(orders!C302,customers!$A$1:$A$1001,customers!$B$1:$B$1001,,0)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9">
        <f>INDEX(products!$A$1:$G$49,MATCH(orders!$D302,products!$A$1:$A$49,0),MATCH(orders!K$1,products!$A$1:$G$1,0))</f>
        <v>1</v>
      </c>
      <c r="L302" s="10">
        <f>INDEX(products!$A$1:$G$49,MATCH(orders!$D302,products!$A$1:$A$49,0),MATCH(orders!L$1,products!$A$1:$G$1,0))</f>
        <v>12.95</v>
      </c>
      <c r="M302" s="10">
        <f t="shared" si="12"/>
        <v>38.849999999999994</v>
      </c>
      <c r="N302" t="str">
        <f t="shared" si="13"/>
        <v>Arabica</v>
      </c>
      <c r="O302" t="str">
        <f t="shared" si="14"/>
        <v>Light</v>
      </c>
      <c r="P302" t="str">
        <f>_xlfn.XLOOKUP(Table1[[#This Row],[Customer ID]],customers!$A$1:$A$1001,customers!$I$1:$I$1001,,0)</f>
        <v>Yes</v>
      </c>
    </row>
    <row r="303" spans="1:16" x14ac:dyDescent="0.25">
      <c r="A303" s="2" t="s">
        <v>2187</v>
      </c>
      <c r="B303" s="8">
        <v>44102</v>
      </c>
      <c r="C303" s="2" t="s">
        <v>2188</v>
      </c>
      <c r="D303" t="s">
        <v>6150</v>
      </c>
      <c r="E303" s="2">
        <v>4</v>
      </c>
      <c r="F303" s="2" t="str">
        <f>_xlfn.XLOOKUP(orders!C303,customers!$A$1:$A$1001,customers!$B$1:$B$1001,,0)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9">
        <f>INDEX(products!$A$1:$G$49,MATCH(orders!$D303,products!$A$1:$A$49,0),MATCH(orders!K$1,products!$A$1:$G$1,0))</f>
        <v>0.2</v>
      </c>
      <c r="L303" s="10">
        <f>INDEX(products!$A$1:$G$49,MATCH(orders!$D303,products!$A$1:$A$49,0),MATCH(orders!L$1,products!$A$1:$G$1,0))</f>
        <v>3.8849999999999998</v>
      </c>
      <c r="M303" s="10">
        <f t="shared" si="12"/>
        <v>15.54</v>
      </c>
      <c r="N303" t="str">
        <f t="shared" si="13"/>
        <v>Liberica</v>
      </c>
      <c r="O303" t="str">
        <f t="shared" si="14"/>
        <v>Dark</v>
      </c>
      <c r="P303" t="str">
        <f>_xlfn.XLOOKUP(Table1[[#This Row],[Customer ID]],customers!$A$1:$A$1001,customers!$I$1:$I$1001,,0)</f>
        <v>Yes</v>
      </c>
    </row>
    <row r="304" spans="1:16" x14ac:dyDescent="0.25">
      <c r="A304" s="2" t="s">
        <v>2193</v>
      </c>
      <c r="B304" s="8">
        <v>43762</v>
      </c>
      <c r="C304" s="2" t="s">
        <v>2194</v>
      </c>
      <c r="D304" t="s">
        <v>6157</v>
      </c>
      <c r="E304" s="2">
        <v>1</v>
      </c>
      <c r="F304" s="2" t="str">
        <f>_xlfn.XLOOKUP(orders!C304,customers!$A$1:$A$1001,customers!$B$1:$B$1001,,0)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9">
        <f>INDEX(products!$A$1:$G$49,MATCH(orders!$D304,products!$A$1:$A$49,0),MATCH(orders!K$1,products!$A$1:$G$1,0))</f>
        <v>0.5</v>
      </c>
      <c r="L304" s="10">
        <f>INDEX(products!$A$1:$G$49,MATCH(orders!$D304,products!$A$1:$A$49,0),MATCH(orders!L$1,products!$A$1:$G$1,0))</f>
        <v>6.75</v>
      </c>
      <c r="M304" s="10">
        <f t="shared" si="12"/>
        <v>6.75</v>
      </c>
      <c r="N304" t="str">
        <f t="shared" si="13"/>
        <v>Arabica</v>
      </c>
      <c r="O304" t="str">
        <f t="shared" si="14"/>
        <v>Medium</v>
      </c>
      <c r="P304" t="str">
        <f>_xlfn.XLOOKUP(Table1[[#This Row],[Customer ID]],customers!$A$1:$A$1001,customers!$I$1:$I$1001,,0)</f>
        <v>No</v>
      </c>
    </row>
    <row r="305" spans="1:16" x14ac:dyDescent="0.25">
      <c r="A305" s="2" t="s">
        <v>2199</v>
      </c>
      <c r="B305" s="8">
        <v>44412</v>
      </c>
      <c r="C305" s="2" t="s">
        <v>2200</v>
      </c>
      <c r="D305" t="s">
        <v>6185</v>
      </c>
      <c r="E305" s="2">
        <v>4</v>
      </c>
      <c r="F305" s="2" t="str">
        <f>_xlfn.XLOOKUP(orders!C305,customers!$A$1:$A$1001,customers!$B$1:$B$1001,,0)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9">
        <f>INDEX(products!$A$1:$G$49,MATCH(orders!$D305,products!$A$1:$A$49,0),MATCH(orders!K$1,products!$A$1:$G$1,0))</f>
        <v>2.5</v>
      </c>
      <c r="L305" s="10">
        <f>INDEX(products!$A$1:$G$49,MATCH(orders!$D305,products!$A$1:$A$49,0),MATCH(orders!L$1,products!$A$1:$G$1,0))</f>
        <v>27.945</v>
      </c>
      <c r="M305" s="10">
        <f t="shared" si="12"/>
        <v>111.78</v>
      </c>
      <c r="N305" t="str">
        <f t="shared" si="13"/>
        <v>Excelsa</v>
      </c>
      <c r="O305" t="str">
        <f t="shared" si="14"/>
        <v>Dark</v>
      </c>
      <c r="P305" t="str">
        <f>_xlfn.XLOOKUP(Table1[[#This Row],[Customer ID]],customers!$A$1:$A$1001,customers!$I$1:$I$1001,,0)</f>
        <v>Yes</v>
      </c>
    </row>
    <row r="306" spans="1:16" x14ac:dyDescent="0.25">
      <c r="A306" s="2" t="s">
        <v>2204</v>
      </c>
      <c r="B306" s="8">
        <v>43828</v>
      </c>
      <c r="C306" s="2" t="s">
        <v>2245</v>
      </c>
      <c r="D306" t="s">
        <v>6167</v>
      </c>
      <c r="E306" s="2">
        <v>1</v>
      </c>
      <c r="F306" s="2" t="str">
        <f>_xlfn.XLOOKUP(orders!C306,customers!$A$1:$A$1001,customers!$B$1:$B$1001,,0)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9">
        <f>INDEX(products!$A$1:$G$49,MATCH(orders!$D306,products!$A$1:$A$49,0),MATCH(orders!K$1,products!$A$1:$G$1,0))</f>
        <v>0.2</v>
      </c>
      <c r="L306" s="10">
        <f>INDEX(products!$A$1:$G$49,MATCH(orders!$D306,products!$A$1:$A$49,0),MATCH(orders!L$1,products!$A$1:$G$1,0))</f>
        <v>3.8849999999999998</v>
      </c>
      <c r="M306" s="10">
        <f t="shared" si="12"/>
        <v>3.8849999999999998</v>
      </c>
      <c r="N306" t="str">
        <f t="shared" si="13"/>
        <v>Arabica</v>
      </c>
      <c r="O306" t="str">
        <f t="shared" si="14"/>
        <v>Light</v>
      </c>
      <c r="P306" t="str">
        <f>_xlfn.XLOOKUP(Table1[[#This Row],[Customer ID]],customers!$A$1:$A$1001,customers!$I$1:$I$1001,,0)</f>
        <v>Yes</v>
      </c>
    </row>
    <row r="307" spans="1:16" x14ac:dyDescent="0.25">
      <c r="A307" s="2" t="s">
        <v>2209</v>
      </c>
      <c r="B307" s="8">
        <v>43796</v>
      </c>
      <c r="C307" s="2" t="s">
        <v>2210</v>
      </c>
      <c r="D307" t="s">
        <v>6159</v>
      </c>
      <c r="E307" s="2">
        <v>5</v>
      </c>
      <c r="F307" s="2" t="str">
        <f>_xlfn.XLOOKUP(orders!C307,customers!$A$1:$A$1001,customers!$B$1:$B$1001,,0)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9">
        <f>INDEX(products!$A$1:$G$49,MATCH(orders!$D307,products!$A$1:$A$49,0),MATCH(orders!K$1,products!$A$1:$G$1,0))</f>
        <v>0.2</v>
      </c>
      <c r="L307" s="10">
        <f>INDEX(products!$A$1:$G$49,MATCH(orders!$D307,products!$A$1:$A$49,0),MATCH(orders!L$1,products!$A$1:$G$1,0))</f>
        <v>4.3650000000000002</v>
      </c>
      <c r="M307" s="10">
        <f t="shared" si="12"/>
        <v>21.825000000000003</v>
      </c>
      <c r="N307" t="str">
        <f t="shared" si="13"/>
        <v>Liberica</v>
      </c>
      <c r="O307" t="str">
        <f t="shared" si="14"/>
        <v>Medium</v>
      </c>
      <c r="P307" t="str">
        <f>_xlfn.XLOOKUP(Table1[[#This Row],[Customer ID]],customers!$A$1:$A$1001,customers!$I$1:$I$1001,,0)</f>
        <v>No</v>
      </c>
    </row>
    <row r="308" spans="1:16" x14ac:dyDescent="0.25">
      <c r="A308" s="2" t="s">
        <v>2215</v>
      </c>
      <c r="B308" s="8">
        <v>43890</v>
      </c>
      <c r="C308" s="2" t="s">
        <v>2216</v>
      </c>
      <c r="D308" t="s">
        <v>6174</v>
      </c>
      <c r="E308" s="2">
        <v>5</v>
      </c>
      <c r="F308" s="2" t="str">
        <f>_xlfn.XLOOKUP(orders!C308,customers!$A$1:$A$1001,customers!$B$1:$B$1001,,0)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9">
        <f>INDEX(products!$A$1:$G$49,MATCH(orders!$D308,products!$A$1:$A$49,0),MATCH(orders!K$1,products!$A$1:$G$1,0))</f>
        <v>0.2</v>
      </c>
      <c r="L308" s="10">
        <f>INDEX(products!$A$1:$G$49,MATCH(orders!$D308,products!$A$1:$A$49,0),MATCH(orders!L$1,products!$A$1:$G$1,0))</f>
        <v>2.9849999999999999</v>
      </c>
      <c r="M308" s="10">
        <f t="shared" si="12"/>
        <v>14.924999999999999</v>
      </c>
      <c r="N308" t="str">
        <f t="shared" si="13"/>
        <v>Robusta</v>
      </c>
      <c r="O308" t="str">
        <f t="shared" si="14"/>
        <v>Medium</v>
      </c>
      <c r="P308" t="str">
        <f>_xlfn.XLOOKUP(Table1[[#This Row],[Customer ID]],customers!$A$1:$A$1001,customers!$I$1:$I$1001,,0)</f>
        <v>No</v>
      </c>
    </row>
    <row r="309" spans="1:16" x14ac:dyDescent="0.25">
      <c r="A309" s="2" t="s">
        <v>2221</v>
      </c>
      <c r="B309" s="8">
        <v>44227</v>
      </c>
      <c r="C309" s="2" t="s">
        <v>2222</v>
      </c>
      <c r="D309" t="s">
        <v>6155</v>
      </c>
      <c r="E309" s="2">
        <v>3</v>
      </c>
      <c r="F309" s="2" t="str">
        <f>_xlfn.XLOOKUP(orders!C309,customers!$A$1:$A$1001,customers!$B$1:$B$1001,,0)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9">
        <f>INDEX(products!$A$1:$G$49,MATCH(orders!$D309,products!$A$1:$A$49,0),MATCH(orders!K$1,products!$A$1:$G$1,0))</f>
        <v>1</v>
      </c>
      <c r="L309" s="10">
        <f>INDEX(products!$A$1:$G$49,MATCH(orders!$D309,products!$A$1:$A$49,0),MATCH(orders!L$1,products!$A$1:$G$1,0))</f>
        <v>11.25</v>
      </c>
      <c r="M309" s="10">
        <f t="shared" si="12"/>
        <v>33.75</v>
      </c>
      <c r="N309" t="str">
        <f t="shared" si="13"/>
        <v>Arabica</v>
      </c>
      <c r="O309" t="str">
        <f t="shared" si="14"/>
        <v>Medium</v>
      </c>
      <c r="P309" t="str">
        <f>_xlfn.XLOOKUP(Table1[[#This Row],[Customer ID]],customers!$A$1:$A$1001,customers!$I$1:$I$1001,,0)</f>
        <v>Yes</v>
      </c>
    </row>
    <row r="310" spans="1:16" x14ac:dyDescent="0.25">
      <c r="A310" s="2" t="s">
        <v>2227</v>
      </c>
      <c r="B310" s="8">
        <v>44729</v>
      </c>
      <c r="C310" s="2" t="s">
        <v>2228</v>
      </c>
      <c r="D310" t="s">
        <v>6155</v>
      </c>
      <c r="E310" s="2">
        <v>3</v>
      </c>
      <c r="F310" s="2" t="str">
        <f>_xlfn.XLOOKUP(orders!C310,customers!$A$1:$A$1001,customers!$B$1:$B$1001,,0)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9">
        <f>INDEX(products!$A$1:$G$49,MATCH(orders!$D310,products!$A$1:$A$49,0),MATCH(orders!K$1,products!$A$1:$G$1,0))</f>
        <v>1</v>
      </c>
      <c r="L310" s="10">
        <f>INDEX(products!$A$1:$G$49,MATCH(orders!$D310,products!$A$1:$A$49,0),MATCH(orders!L$1,products!$A$1:$G$1,0))</f>
        <v>11.25</v>
      </c>
      <c r="M310" s="10">
        <f t="shared" si="12"/>
        <v>33.75</v>
      </c>
      <c r="N310" t="str">
        <f t="shared" si="13"/>
        <v>Arabica</v>
      </c>
      <c r="O310" t="str">
        <f t="shared" si="14"/>
        <v>Medium</v>
      </c>
      <c r="P310" t="str">
        <f>_xlfn.XLOOKUP(Table1[[#This Row],[Customer ID]],customers!$A$1:$A$1001,customers!$I$1:$I$1001,,0)</f>
        <v>No</v>
      </c>
    </row>
    <row r="311" spans="1:16" x14ac:dyDescent="0.25">
      <c r="A311" s="2" t="s">
        <v>2232</v>
      </c>
      <c r="B311" s="8">
        <v>43864</v>
      </c>
      <c r="C311" s="2" t="s">
        <v>2233</v>
      </c>
      <c r="D311" t="s">
        <v>6159</v>
      </c>
      <c r="E311" s="2">
        <v>6</v>
      </c>
      <c r="F311" s="2" t="str">
        <f>_xlfn.XLOOKUP(orders!C311,customers!$A$1:$A$1001,customers!$B$1:$B$1001,,0)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9">
        <f>INDEX(products!$A$1:$G$49,MATCH(orders!$D311,products!$A$1:$A$49,0),MATCH(orders!K$1,products!$A$1:$G$1,0))</f>
        <v>0.2</v>
      </c>
      <c r="L311" s="10">
        <f>INDEX(products!$A$1:$G$49,MATCH(orders!$D311,products!$A$1:$A$49,0),MATCH(orders!L$1,products!$A$1:$G$1,0))</f>
        <v>4.3650000000000002</v>
      </c>
      <c r="M311" s="10">
        <f t="shared" si="12"/>
        <v>26.19</v>
      </c>
      <c r="N311" t="str">
        <f t="shared" si="13"/>
        <v>Liberica</v>
      </c>
      <c r="O311" t="str">
        <f t="shared" si="14"/>
        <v>Medium</v>
      </c>
      <c r="P311" t="str">
        <f>_xlfn.XLOOKUP(Table1[[#This Row],[Customer ID]],customers!$A$1:$A$1001,customers!$I$1:$I$1001,,0)</f>
        <v>Yes</v>
      </c>
    </row>
    <row r="312" spans="1:16" x14ac:dyDescent="0.25">
      <c r="A312" s="2" t="s">
        <v>2238</v>
      </c>
      <c r="B312" s="8">
        <v>44586</v>
      </c>
      <c r="C312" s="2" t="s">
        <v>2239</v>
      </c>
      <c r="D312" t="s">
        <v>6171</v>
      </c>
      <c r="E312" s="2">
        <v>1</v>
      </c>
      <c r="F312" s="2" t="str">
        <f>_xlfn.XLOOKUP(orders!C312,customers!$A$1:$A$1001,customers!$B$1:$B$1001,,0)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9">
        <f>INDEX(products!$A$1:$G$49,MATCH(orders!$D312,products!$A$1:$A$49,0),MATCH(orders!K$1,products!$A$1:$G$1,0))</f>
        <v>1</v>
      </c>
      <c r="L312" s="10">
        <f>INDEX(products!$A$1:$G$49,MATCH(orders!$D312,products!$A$1:$A$49,0),MATCH(orders!L$1,products!$A$1:$G$1,0))</f>
        <v>14.85</v>
      </c>
      <c r="M312" s="10">
        <f t="shared" si="12"/>
        <v>14.85</v>
      </c>
      <c r="N312" t="str">
        <f t="shared" si="13"/>
        <v>Excelsa</v>
      </c>
      <c r="O312" t="str">
        <f t="shared" si="14"/>
        <v>Light</v>
      </c>
      <c r="P312" t="str">
        <f>_xlfn.XLOOKUP(Table1[[#This Row],[Customer ID]],customers!$A$1:$A$1001,customers!$I$1:$I$1001,,0)</f>
        <v>No</v>
      </c>
    </row>
    <row r="313" spans="1:16" x14ac:dyDescent="0.25">
      <c r="A313" s="2" t="s">
        <v>2244</v>
      </c>
      <c r="B313" s="8">
        <v>43951</v>
      </c>
      <c r="C313" s="2" t="s">
        <v>2245</v>
      </c>
      <c r="D313" t="s">
        <v>6166</v>
      </c>
      <c r="E313" s="2">
        <v>6</v>
      </c>
      <c r="F313" s="2" t="str">
        <f>_xlfn.XLOOKUP(orders!C313,customers!$A$1:$A$1001,customers!$B$1:$B$1001,,0)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9">
        <f>INDEX(products!$A$1:$G$49,MATCH(orders!$D313,products!$A$1:$A$49,0),MATCH(orders!K$1,products!$A$1:$G$1,0))</f>
        <v>2.5</v>
      </c>
      <c r="L313" s="10">
        <f>INDEX(products!$A$1:$G$49,MATCH(orders!$D313,products!$A$1:$A$49,0),MATCH(orders!L$1,products!$A$1:$G$1,0))</f>
        <v>31.624999999999996</v>
      </c>
      <c r="M313" s="10">
        <f t="shared" si="12"/>
        <v>189.74999999999997</v>
      </c>
      <c r="N313" t="str">
        <f t="shared" si="13"/>
        <v>Excelsa</v>
      </c>
      <c r="O313" t="str">
        <f t="shared" si="14"/>
        <v>Medium</v>
      </c>
      <c r="P313" t="str">
        <f>_xlfn.XLOOKUP(Table1[[#This Row],[Customer ID]],customers!$A$1:$A$1001,customers!$I$1:$I$1001,,0)</f>
        <v>Yes</v>
      </c>
    </row>
    <row r="314" spans="1:16" x14ac:dyDescent="0.25">
      <c r="A314" s="2" t="s">
        <v>2250</v>
      </c>
      <c r="B314" s="8">
        <v>44317</v>
      </c>
      <c r="C314" s="2" t="s">
        <v>2251</v>
      </c>
      <c r="D314" t="s">
        <v>6146</v>
      </c>
      <c r="E314" s="2">
        <v>1</v>
      </c>
      <c r="F314" s="2" t="str">
        <f>_xlfn.XLOOKUP(orders!C314,customers!$A$1:$A$1001,customers!$B$1:$B$1001,,0)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9">
        <f>INDEX(products!$A$1:$G$49,MATCH(orders!$D314,products!$A$1:$A$49,0),MATCH(orders!K$1,products!$A$1:$G$1,0))</f>
        <v>0.5</v>
      </c>
      <c r="L314" s="10">
        <f>INDEX(products!$A$1:$G$49,MATCH(orders!$D314,products!$A$1:$A$49,0),MATCH(orders!L$1,products!$A$1:$G$1,0))</f>
        <v>5.97</v>
      </c>
      <c r="M314" s="10">
        <f t="shared" si="12"/>
        <v>5.97</v>
      </c>
      <c r="N314" t="str">
        <f t="shared" si="13"/>
        <v>Robusta</v>
      </c>
      <c r="O314" t="str">
        <f t="shared" si="14"/>
        <v>Medium</v>
      </c>
      <c r="P314" t="str">
        <f>_xlfn.XLOOKUP(Table1[[#This Row],[Customer ID]],customers!$A$1:$A$1001,customers!$I$1:$I$1001,,0)</f>
        <v>Yes</v>
      </c>
    </row>
    <row r="315" spans="1:16" x14ac:dyDescent="0.25">
      <c r="A315" s="2" t="s">
        <v>2256</v>
      </c>
      <c r="B315" s="8">
        <v>44497</v>
      </c>
      <c r="C315" s="2" t="s">
        <v>2257</v>
      </c>
      <c r="D315" t="s">
        <v>6138</v>
      </c>
      <c r="E315" s="2">
        <v>3</v>
      </c>
      <c r="F315" s="2" t="str">
        <f>_xlfn.XLOOKUP(orders!C315,customers!$A$1:$A$1001,customers!$B$1:$B$1001,,0)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9">
        <f>INDEX(products!$A$1:$G$49,MATCH(orders!$D315,products!$A$1:$A$49,0),MATCH(orders!K$1,products!$A$1:$G$1,0))</f>
        <v>1</v>
      </c>
      <c r="L315" s="10">
        <f>INDEX(products!$A$1:$G$49,MATCH(orders!$D315,products!$A$1:$A$49,0),MATCH(orders!L$1,products!$A$1:$G$1,0))</f>
        <v>9.9499999999999993</v>
      </c>
      <c r="M315" s="10">
        <f t="shared" si="12"/>
        <v>29.849999999999998</v>
      </c>
      <c r="N315" t="str">
        <f t="shared" si="13"/>
        <v>Robusta</v>
      </c>
      <c r="O315" t="str">
        <f t="shared" si="14"/>
        <v>Medium</v>
      </c>
      <c r="P315" t="str">
        <f>_xlfn.XLOOKUP(Table1[[#This Row],[Customer ID]],customers!$A$1:$A$1001,customers!$I$1:$I$1001,,0)</f>
        <v>Yes</v>
      </c>
    </row>
    <row r="316" spans="1:16" x14ac:dyDescent="0.25">
      <c r="A316" s="2" t="s">
        <v>2262</v>
      </c>
      <c r="B316" s="8">
        <v>44437</v>
      </c>
      <c r="C316" s="2" t="s">
        <v>2263</v>
      </c>
      <c r="D316" t="s">
        <v>6177</v>
      </c>
      <c r="E316" s="2">
        <v>5</v>
      </c>
      <c r="F316" s="2" t="str">
        <f>_xlfn.XLOOKUP(orders!C316,customers!$A$1:$A$1001,customers!$B$1:$B$1001,,0)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9">
        <f>INDEX(products!$A$1:$G$49,MATCH(orders!$D316,products!$A$1:$A$49,0),MATCH(orders!K$1,products!$A$1:$G$1,0))</f>
        <v>1</v>
      </c>
      <c r="L316" s="10">
        <f>INDEX(products!$A$1:$G$49,MATCH(orders!$D316,products!$A$1:$A$49,0),MATCH(orders!L$1,products!$A$1:$G$1,0))</f>
        <v>8.9499999999999993</v>
      </c>
      <c r="M316" s="10">
        <f t="shared" si="12"/>
        <v>44.75</v>
      </c>
      <c r="N316" t="str">
        <f t="shared" si="13"/>
        <v>Robusta</v>
      </c>
      <c r="O316" t="str">
        <f t="shared" si="14"/>
        <v>Dark</v>
      </c>
      <c r="P316" t="str">
        <f>_xlfn.XLOOKUP(Table1[[#This Row],[Customer ID]],customers!$A$1:$A$1001,customers!$I$1:$I$1001,,0)</f>
        <v>No</v>
      </c>
    </row>
    <row r="317" spans="1:16" x14ac:dyDescent="0.25">
      <c r="A317" s="2" t="s">
        <v>2267</v>
      </c>
      <c r="B317" s="8">
        <v>43826</v>
      </c>
      <c r="C317" s="2" t="s">
        <v>2268</v>
      </c>
      <c r="D317" t="s">
        <v>6148</v>
      </c>
      <c r="E317" s="2">
        <v>1</v>
      </c>
      <c r="F317" s="2" t="str">
        <f>_xlfn.XLOOKUP(orders!C317,customers!$A$1:$A$1001,customers!$B$1:$B$1001,,0)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9">
        <f>INDEX(products!$A$1:$G$49,MATCH(orders!$D317,products!$A$1:$A$49,0),MATCH(orders!K$1,products!$A$1:$G$1,0))</f>
        <v>2.5</v>
      </c>
      <c r="L317" s="10">
        <f>INDEX(products!$A$1:$G$49,MATCH(orders!$D317,products!$A$1:$A$49,0),MATCH(orders!L$1,products!$A$1:$G$1,0))</f>
        <v>34.154999999999994</v>
      </c>
      <c r="M317" s="10">
        <f t="shared" si="12"/>
        <v>34.154999999999994</v>
      </c>
      <c r="N317" t="str">
        <f t="shared" si="13"/>
        <v>Excelsa</v>
      </c>
      <c r="O317" t="str">
        <f t="shared" si="14"/>
        <v>Light</v>
      </c>
      <c r="P317" t="str">
        <f>_xlfn.XLOOKUP(Table1[[#This Row],[Customer ID]],customers!$A$1:$A$1001,customers!$I$1:$I$1001,,0)</f>
        <v>Yes</v>
      </c>
    </row>
    <row r="318" spans="1:16" x14ac:dyDescent="0.25">
      <c r="A318" s="2" t="s">
        <v>2273</v>
      </c>
      <c r="B318" s="8">
        <v>43641</v>
      </c>
      <c r="C318" s="2" t="s">
        <v>2274</v>
      </c>
      <c r="D318" t="s">
        <v>6148</v>
      </c>
      <c r="E318" s="2">
        <v>6</v>
      </c>
      <c r="F318" s="2" t="str">
        <f>_xlfn.XLOOKUP(orders!C318,customers!$A$1:$A$1001,customers!$B$1:$B$1001,,0)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9">
        <f>INDEX(products!$A$1:$G$49,MATCH(orders!$D318,products!$A$1:$A$49,0),MATCH(orders!K$1,products!$A$1:$G$1,0))</f>
        <v>2.5</v>
      </c>
      <c r="L318" s="10">
        <f>INDEX(products!$A$1:$G$49,MATCH(orders!$D318,products!$A$1:$A$49,0),MATCH(orders!L$1,products!$A$1:$G$1,0))</f>
        <v>34.154999999999994</v>
      </c>
      <c r="M318" s="10">
        <f t="shared" si="12"/>
        <v>204.92999999999995</v>
      </c>
      <c r="N318" t="str">
        <f t="shared" si="13"/>
        <v>Excelsa</v>
      </c>
      <c r="O318" t="str">
        <f t="shared" si="14"/>
        <v>Light</v>
      </c>
      <c r="P318" t="str">
        <f>_xlfn.XLOOKUP(Table1[[#This Row],[Customer ID]],customers!$A$1:$A$1001,customers!$I$1:$I$1001,,0)</f>
        <v>No</v>
      </c>
    </row>
    <row r="319" spans="1:16" x14ac:dyDescent="0.25">
      <c r="A319" s="2" t="s">
        <v>2279</v>
      </c>
      <c r="B319" s="8">
        <v>43526</v>
      </c>
      <c r="C319" s="2" t="s">
        <v>2280</v>
      </c>
      <c r="D319" t="s">
        <v>6144</v>
      </c>
      <c r="E319" s="2">
        <v>3</v>
      </c>
      <c r="F319" s="2" t="str">
        <f>_xlfn.XLOOKUP(orders!C319,customers!$A$1:$A$1001,customers!$B$1:$B$1001,,0)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9">
        <f>INDEX(products!$A$1:$G$49,MATCH(orders!$D319,products!$A$1:$A$49,0),MATCH(orders!K$1,products!$A$1:$G$1,0))</f>
        <v>0.5</v>
      </c>
      <c r="L319" s="10">
        <f>INDEX(products!$A$1:$G$49,MATCH(orders!$D319,products!$A$1:$A$49,0),MATCH(orders!L$1,products!$A$1:$G$1,0))</f>
        <v>7.29</v>
      </c>
      <c r="M319" s="10">
        <f t="shared" si="12"/>
        <v>21.87</v>
      </c>
      <c r="N319" t="str">
        <f t="shared" si="13"/>
        <v>Excelsa</v>
      </c>
      <c r="O319" t="str">
        <f t="shared" si="14"/>
        <v>Dark</v>
      </c>
      <c r="P319" t="str">
        <f>_xlfn.XLOOKUP(Table1[[#This Row],[Customer ID]],customers!$A$1:$A$1001,customers!$I$1:$I$1001,,0)</f>
        <v>No</v>
      </c>
    </row>
    <row r="320" spans="1:16" x14ac:dyDescent="0.25">
      <c r="A320" s="2" t="s">
        <v>2285</v>
      </c>
      <c r="B320" s="8">
        <v>44563</v>
      </c>
      <c r="C320" s="2" t="s">
        <v>2286</v>
      </c>
      <c r="D320" t="s">
        <v>6175</v>
      </c>
      <c r="E320" s="2">
        <v>2</v>
      </c>
      <c r="F320" s="2" t="str">
        <f>_xlfn.XLOOKUP(orders!C320,customers!$A$1:$A$1001,customers!$B$1:$B$1001,,0)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9">
        <f>INDEX(products!$A$1:$G$49,MATCH(orders!$D320,products!$A$1:$A$49,0),MATCH(orders!K$1,products!$A$1:$G$1,0))</f>
        <v>2.5</v>
      </c>
      <c r="L320" s="10">
        <f>INDEX(products!$A$1:$G$49,MATCH(orders!$D320,products!$A$1:$A$49,0),MATCH(orders!L$1,products!$A$1:$G$1,0))</f>
        <v>25.874999999999996</v>
      </c>
      <c r="M320" s="10">
        <f t="shared" si="12"/>
        <v>51.749999999999993</v>
      </c>
      <c r="N320" t="str">
        <f t="shared" si="13"/>
        <v>Arabica</v>
      </c>
      <c r="O320" t="str">
        <f t="shared" si="14"/>
        <v>Medium</v>
      </c>
      <c r="P320" t="str">
        <f>_xlfn.XLOOKUP(Table1[[#This Row],[Customer ID]],customers!$A$1:$A$1001,customers!$I$1:$I$1001,,0)</f>
        <v>Yes</v>
      </c>
    </row>
    <row r="321" spans="1:16" x14ac:dyDescent="0.25">
      <c r="A321" s="2" t="s">
        <v>2291</v>
      </c>
      <c r="B321" s="8">
        <v>43676</v>
      </c>
      <c r="C321" s="2" t="s">
        <v>2292</v>
      </c>
      <c r="D321" t="s">
        <v>6156</v>
      </c>
      <c r="E321" s="2">
        <v>2</v>
      </c>
      <c r="F321" s="2" t="str">
        <f>_xlfn.XLOOKUP(orders!C321,customers!$A$1:$A$1001,customers!$B$1:$B$1001,,0)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9">
        <f>INDEX(products!$A$1:$G$49,MATCH(orders!$D321,products!$A$1:$A$49,0),MATCH(orders!K$1,products!$A$1:$G$1,0))</f>
        <v>0.2</v>
      </c>
      <c r="L321" s="10">
        <f>INDEX(products!$A$1:$G$49,MATCH(orders!$D321,products!$A$1:$A$49,0),MATCH(orders!L$1,products!$A$1:$G$1,0))</f>
        <v>4.125</v>
      </c>
      <c r="M321" s="10">
        <f t="shared" si="12"/>
        <v>8.25</v>
      </c>
      <c r="N321" t="str">
        <f t="shared" si="13"/>
        <v>Excelsa</v>
      </c>
      <c r="O321" t="str">
        <f t="shared" si="14"/>
        <v>Medium</v>
      </c>
      <c r="P321" t="str">
        <f>_xlfn.XLOOKUP(Table1[[#This Row],[Customer ID]],customers!$A$1:$A$1001,customers!$I$1:$I$1001,,0)</f>
        <v>Yes</v>
      </c>
    </row>
    <row r="322" spans="1:16" x14ac:dyDescent="0.25">
      <c r="A322" s="2" t="s">
        <v>2291</v>
      </c>
      <c r="B322" s="8">
        <v>43676</v>
      </c>
      <c r="C322" s="2" t="s">
        <v>2292</v>
      </c>
      <c r="D322" t="s">
        <v>6167</v>
      </c>
      <c r="E322" s="2">
        <v>5</v>
      </c>
      <c r="F322" s="2" t="str">
        <f>_xlfn.XLOOKUP(orders!C322,customers!$A$1:$A$1001,customers!$B$1:$B$1001,,0)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9">
        <f>INDEX(products!$A$1:$G$49,MATCH(orders!$D322,products!$A$1:$A$49,0),MATCH(orders!K$1,products!$A$1:$G$1,0))</f>
        <v>0.2</v>
      </c>
      <c r="L322" s="10">
        <f>INDEX(products!$A$1:$G$49,MATCH(orders!$D322,products!$A$1:$A$49,0),MATCH(orders!L$1,products!$A$1:$G$1,0))</f>
        <v>3.8849999999999998</v>
      </c>
      <c r="M322" s="10">
        <f t="shared" si="12"/>
        <v>19.424999999999997</v>
      </c>
      <c r="N322" t="str">
        <f t="shared" si="13"/>
        <v>Arabica</v>
      </c>
      <c r="O322" t="str">
        <f t="shared" si="14"/>
        <v>Light</v>
      </c>
      <c r="P322" t="str">
        <f>_xlfn.XLOOKUP(Table1[[#This Row],[Customer ID]],customers!$A$1:$A$1001,customers!$I$1:$I$1001,,0)</f>
        <v>Yes</v>
      </c>
    </row>
    <row r="323" spans="1:16" x14ac:dyDescent="0.25">
      <c r="A323" s="2" t="s">
        <v>2301</v>
      </c>
      <c r="B323" s="8">
        <v>44170</v>
      </c>
      <c r="C323" s="2" t="s">
        <v>2302</v>
      </c>
      <c r="D323" t="s">
        <v>6152</v>
      </c>
      <c r="E323" s="2">
        <v>6</v>
      </c>
      <c r="F323" s="2" t="str">
        <f>_xlfn.XLOOKUP(orders!C323,customers!$A$1:$A$1001,customers!$B$1:$B$1001,,0)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9">
        <f>INDEX(products!$A$1:$G$49,MATCH(orders!$D323,products!$A$1:$A$49,0),MATCH(orders!K$1,products!$A$1:$G$1,0))</f>
        <v>0.2</v>
      </c>
      <c r="L323" s="10">
        <f>INDEX(products!$A$1:$G$49,MATCH(orders!$D323,products!$A$1:$A$49,0),MATCH(orders!L$1,products!$A$1:$G$1,0))</f>
        <v>3.375</v>
      </c>
      <c r="M323" s="10">
        <f t="shared" ref="M323:M386" si="15">L323*E323</f>
        <v>20.25</v>
      </c>
      <c r="N323" t="str">
        <f t="shared" ref="N323:N386" si="16">IF(I323="Rob", "Robusta", IF(I323="Exc","Excelsa", IF(I323="Ara","Arabica", IF(I323="Lib","Liberica",""))))</f>
        <v>Arabica</v>
      </c>
      <c r="O323" t="str">
        <f t="shared" ref="O323:O386" si="17">IF(J323="M", "Medium", IF(J323="L","Light",IF(J323="D","Dark","")))</f>
        <v>Medium</v>
      </c>
      <c r="P323" t="str">
        <f>_xlfn.XLOOKUP(Table1[[#This Row],[Customer ID]],customers!$A$1:$A$1001,customers!$I$1:$I$1001,,0)</f>
        <v>Yes</v>
      </c>
    </row>
    <row r="324" spans="1:16" x14ac:dyDescent="0.25">
      <c r="A324" s="2" t="s">
        <v>2307</v>
      </c>
      <c r="B324" s="8">
        <v>44182</v>
      </c>
      <c r="C324" s="2" t="s">
        <v>2308</v>
      </c>
      <c r="D324" t="s">
        <v>6169</v>
      </c>
      <c r="E324" s="2">
        <v>3</v>
      </c>
      <c r="F324" s="2" t="str">
        <f>_xlfn.XLOOKUP(orders!C324,customers!$A$1:$A$1001,customers!$B$1:$B$1001,,0)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9">
        <f>INDEX(products!$A$1:$G$49,MATCH(orders!$D324,products!$A$1:$A$49,0),MATCH(orders!K$1,products!$A$1:$G$1,0))</f>
        <v>0.5</v>
      </c>
      <c r="L324" s="10">
        <f>INDEX(products!$A$1:$G$49,MATCH(orders!$D324,products!$A$1:$A$49,0),MATCH(orders!L$1,products!$A$1:$G$1,0))</f>
        <v>7.77</v>
      </c>
      <c r="M324" s="10">
        <f t="shared" si="15"/>
        <v>23.31</v>
      </c>
      <c r="N324" t="str">
        <f t="shared" si="16"/>
        <v>Liberica</v>
      </c>
      <c r="O324" t="str">
        <f t="shared" si="17"/>
        <v>Dark</v>
      </c>
      <c r="P324" t="str">
        <f>_xlfn.XLOOKUP(Table1[[#This Row],[Customer ID]],customers!$A$1:$A$1001,customers!$I$1:$I$1001,,0)</f>
        <v>No</v>
      </c>
    </row>
    <row r="325" spans="1:16" x14ac:dyDescent="0.25">
      <c r="A325" s="2" t="s">
        <v>2313</v>
      </c>
      <c r="B325" s="8">
        <v>44373</v>
      </c>
      <c r="C325" s="2" t="s">
        <v>2314</v>
      </c>
      <c r="D325" t="s">
        <v>6153</v>
      </c>
      <c r="E325" s="2">
        <v>5</v>
      </c>
      <c r="F325" s="2" t="str">
        <f>_xlfn.XLOOKUP(orders!C325,customers!$A$1:$A$1001,customers!$B$1:$B$1001,,0)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9">
        <f>INDEX(products!$A$1:$G$49,MATCH(orders!$D325,products!$A$1:$A$49,0),MATCH(orders!K$1,products!$A$1:$G$1,0))</f>
        <v>0.2</v>
      </c>
      <c r="L325" s="10">
        <f>INDEX(products!$A$1:$G$49,MATCH(orders!$D325,products!$A$1:$A$49,0),MATCH(orders!L$1,products!$A$1:$G$1,0))</f>
        <v>3.645</v>
      </c>
      <c r="M325" s="10">
        <f t="shared" si="15"/>
        <v>18.225000000000001</v>
      </c>
      <c r="N325" t="str">
        <f t="shared" si="16"/>
        <v>Excelsa</v>
      </c>
      <c r="O325" t="str">
        <f t="shared" si="17"/>
        <v>Dark</v>
      </c>
      <c r="P325" t="str">
        <f>_xlfn.XLOOKUP(Table1[[#This Row],[Customer ID]],customers!$A$1:$A$1001,customers!$I$1:$I$1001,,0)</f>
        <v>Yes</v>
      </c>
    </row>
    <row r="326" spans="1:16" x14ac:dyDescent="0.25">
      <c r="A326" s="2" t="s">
        <v>2319</v>
      </c>
      <c r="B326" s="8">
        <v>43666</v>
      </c>
      <c r="C326" s="2" t="s">
        <v>2320</v>
      </c>
      <c r="D326" t="s">
        <v>6141</v>
      </c>
      <c r="E326" s="2">
        <v>1</v>
      </c>
      <c r="F326" s="2" t="str">
        <f>_xlfn.XLOOKUP(orders!C326,customers!$A$1:$A$1001,customers!$B$1:$B$1001,,0)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9">
        <f>INDEX(products!$A$1:$G$49,MATCH(orders!$D326,products!$A$1:$A$49,0),MATCH(orders!K$1,products!$A$1:$G$1,0))</f>
        <v>1</v>
      </c>
      <c r="L326" s="10">
        <f>INDEX(products!$A$1:$G$49,MATCH(orders!$D326,products!$A$1:$A$49,0),MATCH(orders!L$1,products!$A$1:$G$1,0))</f>
        <v>13.75</v>
      </c>
      <c r="M326" s="10">
        <f t="shared" si="15"/>
        <v>13.75</v>
      </c>
      <c r="N326" t="str">
        <f t="shared" si="16"/>
        <v>Excelsa</v>
      </c>
      <c r="O326" t="str">
        <f t="shared" si="17"/>
        <v>Medium</v>
      </c>
      <c r="P326" t="str">
        <f>_xlfn.XLOOKUP(Table1[[#This Row],[Customer ID]],customers!$A$1:$A$1001,customers!$I$1:$I$1001,,0)</f>
        <v>No</v>
      </c>
    </row>
    <row r="327" spans="1:16" x14ac:dyDescent="0.25">
      <c r="A327" s="2" t="s">
        <v>2324</v>
      </c>
      <c r="B327" s="8">
        <v>44756</v>
      </c>
      <c r="C327" s="2" t="s">
        <v>2325</v>
      </c>
      <c r="D327" t="s">
        <v>6182</v>
      </c>
      <c r="E327" s="2">
        <v>1</v>
      </c>
      <c r="F327" s="2" t="str">
        <f>_xlfn.XLOOKUP(orders!C327,customers!$A$1:$A$1001,customers!$B$1:$B$1001,,0)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9">
        <f>INDEX(products!$A$1:$G$49,MATCH(orders!$D327,products!$A$1:$A$49,0),MATCH(orders!K$1,products!$A$1:$G$1,0))</f>
        <v>2.5</v>
      </c>
      <c r="L327" s="10">
        <f>INDEX(products!$A$1:$G$49,MATCH(orders!$D327,products!$A$1:$A$49,0),MATCH(orders!L$1,products!$A$1:$G$1,0))</f>
        <v>29.784999999999997</v>
      </c>
      <c r="M327" s="10">
        <f t="shared" si="15"/>
        <v>29.784999999999997</v>
      </c>
      <c r="N327" t="str">
        <f t="shared" si="16"/>
        <v>Arabica</v>
      </c>
      <c r="O327" t="str">
        <f t="shared" si="17"/>
        <v>Light</v>
      </c>
      <c r="P327" t="str">
        <f>_xlfn.XLOOKUP(Table1[[#This Row],[Customer ID]],customers!$A$1:$A$1001,customers!$I$1:$I$1001,,0)</f>
        <v>Yes</v>
      </c>
    </row>
    <row r="328" spans="1:16" x14ac:dyDescent="0.25">
      <c r="A328" s="2" t="s">
        <v>2330</v>
      </c>
      <c r="B328" s="8">
        <v>44057</v>
      </c>
      <c r="C328" s="2" t="s">
        <v>2331</v>
      </c>
      <c r="D328" t="s">
        <v>6177</v>
      </c>
      <c r="E328" s="2">
        <v>5</v>
      </c>
      <c r="F328" s="2" t="str">
        <f>_xlfn.XLOOKUP(orders!C328,customers!$A$1:$A$1001,customers!$B$1:$B$1001,,0)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9">
        <f>INDEX(products!$A$1:$G$49,MATCH(orders!$D328,products!$A$1:$A$49,0),MATCH(orders!K$1,products!$A$1:$G$1,0))</f>
        <v>1</v>
      </c>
      <c r="L328" s="10">
        <f>INDEX(products!$A$1:$G$49,MATCH(orders!$D328,products!$A$1:$A$49,0),MATCH(orders!L$1,products!$A$1:$G$1,0))</f>
        <v>8.9499999999999993</v>
      </c>
      <c r="M328" s="10">
        <f t="shared" si="15"/>
        <v>44.75</v>
      </c>
      <c r="N328" t="str">
        <f t="shared" si="16"/>
        <v>Robusta</v>
      </c>
      <c r="O328" t="str">
        <f t="shared" si="17"/>
        <v>Dark</v>
      </c>
      <c r="P328" t="str">
        <f>_xlfn.XLOOKUP(Table1[[#This Row],[Customer ID]],customers!$A$1:$A$1001,customers!$I$1:$I$1001,,0)</f>
        <v>No</v>
      </c>
    </row>
    <row r="329" spans="1:16" x14ac:dyDescent="0.25">
      <c r="A329" s="2" t="s">
        <v>2335</v>
      </c>
      <c r="B329" s="8">
        <v>43579</v>
      </c>
      <c r="C329" s="2" t="s">
        <v>2336</v>
      </c>
      <c r="D329" t="s">
        <v>6177</v>
      </c>
      <c r="E329" s="2">
        <v>5</v>
      </c>
      <c r="F329" s="2" t="str">
        <f>_xlfn.XLOOKUP(orders!C329,customers!$A$1:$A$1001,customers!$B$1:$B$1001,,0)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9">
        <f>INDEX(products!$A$1:$G$49,MATCH(orders!$D329,products!$A$1:$A$49,0),MATCH(orders!K$1,products!$A$1:$G$1,0))</f>
        <v>1</v>
      </c>
      <c r="L329" s="10">
        <f>INDEX(products!$A$1:$G$49,MATCH(orders!$D329,products!$A$1:$A$49,0),MATCH(orders!L$1,products!$A$1:$G$1,0))</f>
        <v>8.9499999999999993</v>
      </c>
      <c r="M329" s="10">
        <f t="shared" si="15"/>
        <v>44.75</v>
      </c>
      <c r="N329" t="str">
        <f t="shared" si="16"/>
        <v>Robusta</v>
      </c>
      <c r="O329" t="str">
        <f t="shared" si="17"/>
        <v>Dark</v>
      </c>
      <c r="P329" t="str">
        <f>_xlfn.XLOOKUP(Table1[[#This Row],[Customer ID]],customers!$A$1:$A$1001,customers!$I$1:$I$1001,,0)</f>
        <v>Yes</v>
      </c>
    </row>
    <row r="330" spans="1:16" x14ac:dyDescent="0.25">
      <c r="A330" s="2" t="s">
        <v>2341</v>
      </c>
      <c r="B330" s="8">
        <v>43620</v>
      </c>
      <c r="C330" s="2" t="s">
        <v>2342</v>
      </c>
      <c r="D330" t="s">
        <v>6161</v>
      </c>
      <c r="E330" s="2">
        <v>4</v>
      </c>
      <c r="F330" s="2" t="str">
        <f>_xlfn.XLOOKUP(orders!C330,customers!$A$1:$A$1001,customers!$B$1:$B$1001,,0)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9">
        <f>INDEX(products!$A$1:$G$49,MATCH(orders!$D330,products!$A$1:$A$49,0),MATCH(orders!K$1,products!$A$1:$G$1,0))</f>
        <v>0.5</v>
      </c>
      <c r="L330" s="10">
        <f>INDEX(products!$A$1:$G$49,MATCH(orders!$D330,products!$A$1:$A$49,0),MATCH(orders!L$1,products!$A$1:$G$1,0))</f>
        <v>9.51</v>
      </c>
      <c r="M330" s="10">
        <f t="shared" si="15"/>
        <v>38.04</v>
      </c>
      <c r="N330" t="str">
        <f t="shared" si="16"/>
        <v>Liberica</v>
      </c>
      <c r="O330" t="str">
        <f t="shared" si="17"/>
        <v>Light</v>
      </c>
      <c r="P330" t="str">
        <f>_xlfn.XLOOKUP(Table1[[#This Row],[Customer ID]],customers!$A$1:$A$1001,customers!$I$1:$I$1001,,0)</f>
        <v>Yes</v>
      </c>
    </row>
    <row r="331" spans="1:16" x14ac:dyDescent="0.25">
      <c r="A331" s="2" t="s">
        <v>2346</v>
      </c>
      <c r="B331" s="8">
        <v>44781</v>
      </c>
      <c r="C331" s="2" t="s">
        <v>2347</v>
      </c>
      <c r="D331" t="s">
        <v>6172</v>
      </c>
      <c r="E331" s="2">
        <v>4</v>
      </c>
      <c r="F331" s="2" t="str">
        <f>_xlfn.XLOOKUP(orders!C331,customers!$A$1:$A$1001,customers!$B$1:$B$1001,,0)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9">
        <f>INDEX(products!$A$1:$G$49,MATCH(orders!$D331,products!$A$1:$A$49,0),MATCH(orders!K$1,products!$A$1:$G$1,0))</f>
        <v>0.5</v>
      </c>
      <c r="L331" s="10">
        <f>INDEX(products!$A$1:$G$49,MATCH(orders!$D331,products!$A$1:$A$49,0),MATCH(orders!L$1,products!$A$1:$G$1,0))</f>
        <v>5.3699999999999992</v>
      </c>
      <c r="M331" s="10">
        <f t="shared" si="15"/>
        <v>21.479999999999997</v>
      </c>
      <c r="N331" t="str">
        <f t="shared" si="16"/>
        <v>Robusta</v>
      </c>
      <c r="O331" t="str">
        <f t="shared" si="17"/>
        <v>Dark</v>
      </c>
      <c r="P331" t="str">
        <f>_xlfn.XLOOKUP(Table1[[#This Row],[Customer ID]],customers!$A$1:$A$1001,customers!$I$1:$I$1001,,0)</f>
        <v>Yes</v>
      </c>
    </row>
    <row r="332" spans="1:16" x14ac:dyDescent="0.25">
      <c r="A332" s="2" t="s">
        <v>2351</v>
      </c>
      <c r="B332" s="8">
        <v>43782</v>
      </c>
      <c r="C332" s="2" t="s">
        <v>2280</v>
      </c>
      <c r="D332" t="s">
        <v>6172</v>
      </c>
      <c r="E332" s="2">
        <v>3</v>
      </c>
      <c r="F332" s="2" t="str">
        <f>_xlfn.XLOOKUP(orders!C332,customers!$A$1:$A$1001,customers!$B$1:$B$1001,,0)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9">
        <f>INDEX(products!$A$1:$G$49,MATCH(orders!$D332,products!$A$1:$A$49,0),MATCH(orders!K$1,products!$A$1:$G$1,0))</f>
        <v>0.5</v>
      </c>
      <c r="L332" s="10">
        <f>INDEX(products!$A$1:$G$49,MATCH(orders!$D332,products!$A$1:$A$49,0),MATCH(orders!L$1,products!$A$1:$G$1,0))</f>
        <v>5.3699999999999992</v>
      </c>
      <c r="M332" s="10">
        <f t="shared" si="15"/>
        <v>16.11</v>
      </c>
      <c r="N332" t="str">
        <f t="shared" si="16"/>
        <v>Robusta</v>
      </c>
      <c r="O332" t="str">
        <f t="shared" si="17"/>
        <v>Dark</v>
      </c>
      <c r="P332" t="str">
        <f>_xlfn.XLOOKUP(Table1[[#This Row],[Customer ID]],customers!$A$1:$A$1001,customers!$I$1:$I$1001,,0)</f>
        <v>No</v>
      </c>
    </row>
    <row r="333" spans="1:16" x14ac:dyDescent="0.25">
      <c r="A333" s="2" t="s">
        <v>2357</v>
      </c>
      <c r="B333" s="8">
        <v>43989</v>
      </c>
      <c r="C333" s="2" t="s">
        <v>2358</v>
      </c>
      <c r="D333" t="s">
        <v>6151</v>
      </c>
      <c r="E333" s="2">
        <v>1</v>
      </c>
      <c r="F333" s="2" t="str">
        <f>_xlfn.XLOOKUP(orders!C333,customers!$A$1:$A$1001,customers!$B$1:$B$1001,,0)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9">
        <f>INDEX(products!$A$1:$G$49,MATCH(orders!$D333,products!$A$1:$A$49,0),MATCH(orders!K$1,products!$A$1:$G$1,0))</f>
        <v>2.5</v>
      </c>
      <c r="L333" s="10">
        <f>INDEX(products!$A$1:$G$49,MATCH(orders!$D333,products!$A$1:$A$49,0),MATCH(orders!L$1,products!$A$1:$G$1,0))</f>
        <v>22.884999999999998</v>
      </c>
      <c r="M333" s="10">
        <f t="shared" si="15"/>
        <v>22.884999999999998</v>
      </c>
      <c r="N333" t="str">
        <f t="shared" si="16"/>
        <v>Robusta</v>
      </c>
      <c r="O333" t="str">
        <f t="shared" si="17"/>
        <v>Medium</v>
      </c>
      <c r="P333" t="str">
        <f>_xlfn.XLOOKUP(Table1[[#This Row],[Customer ID]],customers!$A$1:$A$1001,customers!$I$1:$I$1001,,0)</f>
        <v>Yes</v>
      </c>
    </row>
    <row r="334" spans="1:16" x14ac:dyDescent="0.25">
      <c r="A334" s="2" t="s">
        <v>2363</v>
      </c>
      <c r="B334" s="8">
        <v>43689</v>
      </c>
      <c r="C334" s="2" t="s">
        <v>2364</v>
      </c>
      <c r="D334" t="s">
        <v>6158</v>
      </c>
      <c r="E334" s="2">
        <v>3</v>
      </c>
      <c r="F334" s="2" t="str">
        <f>_xlfn.XLOOKUP(orders!C334,customers!$A$1:$A$1001,customers!$B$1:$B$1001,,0)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9">
        <f>INDEX(products!$A$1:$G$49,MATCH(orders!$D334,products!$A$1:$A$49,0),MATCH(orders!K$1,products!$A$1:$G$1,0))</f>
        <v>0.5</v>
      </c>
      <c r="L334" s="10">
        <f>INDEX(products!$A$1:$G$49,MATCH(orders!$D334,products!$A$1:$A$49,0),MATCH(orders!L$1,products!$A$1:$G$1,0))</f>
        <v>5.97</v>
      </c>
      <c r="M334" s="10">
        <f t="shared" si="15"/>
        <v>17.91</v>
      </c>
      <c r="N334" t="str">
        <f t="shared" si="16"/>
        <v>Arabica</v>
      </c>
      <c r="O334" t="str">
        <f t="shared" si="17"/>
        <v>Dark</v>
      </c>
      <c r="P334" t="str">
        <f>_xlfn.XLOOKUP(Table1[[#This Row],[Customer ID]],customers!$A$1:$A$1001,customers!$I$1:$I$1001,,0)</f>
        <v>Yes</v>
      </c>
    </row>
    <row r="335" spans="1:16" x14ac:dyDescent="0.25">
      <c r="A335" s="2" t="s">
        <v>2369</v>
      </c>
      <c r="B335" s="8">
        <v>43712</v>
      </c>
      <c r="C335" s="2" t="s">
        <v>2370</v>
      </c>
      <c r="D335" t="s">
        <v>6146</v>
      </c>
      <c r="E335" s="2">
        <v>4</v>
      </c>
      <c r="F335" s="2" t="str">
        <f>_xlfn.XLOOKUP(orders!C335,customers!$A$1:$A$1001,customers!$B$1:$B$1001,,0)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9">
        <f>INDEX(products!$A$1:$G$49,MATCH(orders!$D335,products!$A$1:$A$49,0),MATCH(orders!K$1,products!$A$1:$G$1,0))</f>
        <v>0.5</v>
      </c>
      <c r="L335" s="10">
        <f>INDEX(products!$A$1:$G$49,MATCH(orders!$D335,products!$A$1:$A$49,0),MATCH(orders!L$1,products!$A$1:$G$1,0))</f>
        <v>5.97</v>
      </c>
      <c r="M335" s="10">
        <f t="shared" si="15"/>
        <v>23.88</v>
      </c>
      <c r="N335" t="str">
        <f t="shared" si="16"/>
        <v>Robusta</v>
      </c>
      <c r="O335" t="str">
        <f t="shared" si="17"/>
        <v>Medium</v>
      </c>
      <c r="P335" t="str">
        <f>_xlfn.XLOOKUP(Table1[[#This Row],[Customer ID]],customers!$A$1:$A$1001,customers!$I$1:$I$1001,,0)</f>
        <v>Yes</v>
      </c>
    </row>
    <row r="336" spans="1:16" x14ac:dyDescent="0.25">
      <c r="A336" s="2" t="s">
        <v>2375</v>
      </c>
      <c r="B336" s="8">
        <v>43742</v>
      </c>
      <c r="C336" s="2" t="s">
        <v>2376</v>
      </c>
      <c r="D336" t="s">
        <v>6179</v>
      </c>
      <c r="E336" s="2">
        <v>5</v>
      </c>
      <c r="F336" s="2" t="str">
        <f>_xlfn.XLOOKUP(orders!C336,customers!$A$1:$A$1001,customers!$B$1:$B$1001,,0)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9">
        <f>INDEX(products!$A$1:$G$49,MATCH(orders!$D336,products!$A$1:$A$49,0),MATCH(orders!K$1,products!$A$1:$G$1,0))</f>
        <v>1</v>
      </c>
      <c r="L336" s="10">
        <f>INDEX(products!$A$1:$G$49,MATCH(orders!$D336,products!$A$1:$A$49,0),MATCH(orders!L$1,products!$A$1:$G$1,0))</f>
        <v>11.95</v>
      </c>
      <c r="M336" s="10">
        <f t="shared" si="15"/>
        <v>59.75</v>
      </c>
      <c r="N336" t="str">
        <f t="shared" si="16"/>
        <v>Robusta</v>
      </c>
      <c r="O336" t="str">
        <f t="shared" si="17"/>
        <v>Light</v>
      </c>
      <c r="P336" t="str">
        <f>_xlfn.XLOOKUP(Table1[[#This Row],[Customer ID]],customers!$A$1:$A$1001,customers!$I$1:$I$1001,,0)</f>
        <v>No</v>
      </c>
    </row>
    <row r="337" spans="1:16" x14ac:dyDescent="0.25">
      <c r="A337" s="2" t="s">
        <v>2379</v>
      </c>
      <c r="B337" s="8">
        <v>43885</v>
      </c>
      <c r="C337" s="2" t="s">
        <v>2380</v>
      </c>
      <c r="D337" t="s">
        <v>6145</v>
      </c>
      <c r="E337" s="2">
        <v>6</v>
      </c>
      <c r="F337" s="2" t="str">
        <f>_xlfn.XLOOKUP(orders!C337,customers!$A$1:$A$1001,customers!$B$1:$B$1001,,0)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9">
        <f>INDEX(products!$A$1:$G$49,MATCH(orders!$D337,products!$A$1:$A$49,0),MATCH(orders!K$1,products!$A$1:$G$1,0))</f>
        <v>0.2</v>
      </c>
      <c r="L337" s="10">
        <f>INDEX(products!$A$1:$G$49,MATCH(orders!$D337,products!$A$1:$A$49,0),MATCH(orders!L$1,products!$A$1:$G$1,0))</f>
        <v>4.7549999999999999</v>
      </c>
      <c r="M337" s="10">
        <f t="shared" si="15"/>
        <v>28.53</v>
      </c>
      <c r="N337" t="str">
        <f t="shared" si="16"/>
        <v>Liberica</v>
      </c>
      <c r="O337" t="str">
        <f t="shared" si="17"/>
        <v>Light</v>
      </c>
      <c r="P337" t="str">
        <f>_xlfn.XLOOKUP(Table1[[#This Row],[Customer ID]],customers!$A$1:$A$1001,customers!$I$1:$I$1001,,0)</f>
        <v>Yes</v>
      </c>
    </row>
    <row r="338" spans="1:16" x14ac:dyDescent="0.25">
      <c r="A338" s="2" t="s">
        <v>2385</v>
      </c>
      <c r="B338" s="8">
        <v>44434</v>
      </c>
      <c r="C338" s="2" t="s">
        <v>2386</v>
      </c>
      <c r="D338" t="s">
        <v>6155</v>
      </c>
      <c r="E338" s="2">
        <v>4</v>
      </c>
      <c r="F338" s="2" t="str">
        <f>_xlfn.XLOOKUP(orders!C338,customers!$A$1:$A$1001,customers!$B$1:$B$1001,,0)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9">
        <f>INDEX(products!$A$1:$G$49,MATCH(orders!$D338,products!$A$1:$A$49,0),MATCH(orders!K$1,products!$A$1:$G$1,0))</f>
        <v>1</v>
      </c>
      <c r="L338" s="10">
        <f>INDEX(products!$A$1:$G$49,MATCH(orders!$D338,products!$A$1:$A$49,0),MATCH(orders!L$1,products!$A$1:$G$1,0))</f>
        <v>11.25</v>
      </c>
      <c r="M338" s="10">
        <f t="shared" si="15"/>
        <v>45</v>
      </c>
      <c r="N338" t="str">
        <f t="shared" si="16"/>
        <v>Arabica</v>
      </c>
      <c r="O338" t="str">
        <f t="shared" si="17"/>
        <v>Medium</v>
      </c>
      <c r="P338" t="str">
        <f>_xlfn.XLOOKUP(Table1[[#This Row],[Customer ID]],customers!$A$1:$A$1001,customers!$I$1:$I$1001,,0)</f>
        <v>No</v>
      </c>
    </row>
    <row r="339" spans="1:16" x14ac:dyDescent="0.25">
      <c r="A339" s="2" t="s">
        <v>2391</v>
      </c>
      <c r="B339" s="8">
        <v>44472</v>
      </c>
      <c r="C339" s="2" t="s">
        <v>2331</v>
      </c>
      <c r="D339" t="s">
        <v>6185</v>
      </c>
      <c r="E339" s="2">
        <v>2</v>
      </c>
      <c r="F339" s="2" t="str">
        <f>_xlfn.XLOOKUP(orders!C339,customers!$A$1:$A$1001,customers!$B$1:$B$1001,,0)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9">
        <f>INDEX(products!$A$1:$G$49,MATCH(orders!$D339,products!$A$1:$A$49,0),MATCH(orders!K$1,products!$A$1:$G$1,0))</f>
        <v>2.5</v>
      </c>
      <c r="L339" s="10">
        <f>INDEX(products!$A$1:$G$49,MATCH(orders!$D339,products!$A$1:$A$49,0),MATCH(orders!L$1,products!$A$1:$G$1,0))</f>
        <v>27.945</v>
      </c>
      <c r="M339" s="10">
        <f t="shared" si="15"/>
        <v>55.89</v>
      </c>
      <c r="N339" t="str">
        <f t="shared" si="16"/>
        <v>Excelsa</v>
      </c>
      <c r="O339" t="str">
        <f t="shared" si="17"/>
        <v>Dark</v>
      </c>
      <c r="P339" t="str">
        <f>_xlfn.XLOOKUP(Table1[[#This Row],[Customer ID]],customers!$A$1:$A$1001,customers!$I$1:$I$1001,,0)</f>
        <v>No</v>
      </c>
    </row>
    <row r="340" spans="1:16" x14ac:dyDescent="0.25">
      <c r="A340" s="2" t="s">
        <v>2396</v>
      </c>
      <c r="B340" s="8">
        <v>43995</v>
      </c>
      <c r="C340" s="2" t="s">
        <v>2397</v>
      </c>
      <c r="D340" t="s">
        <v>6171</v>
      </c>
      <c r="E340" s="2">
        <v>4</v>
      </c>
      <c r="F340" s="2" t="str">
        <f>_xlfn.XLOOKUP(orders!C340,customers!$A$1:$A$1001,customers!$B$1:$B$1001,,0)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9">
        <f>INDEX(products!$A$1:$G$49,MATCH(orders!$D340,products!$A$1:$A$49,0),MATCH(orders!K$1,products!$A$1:$G$1,0))</f>
        <v>1</v>
      </c>
      <c r="L340" s="10">
        <f>INDEX(products!$A$1:$G$49,MATCH(orders!$D340,products!$A$1:$A$49,0),MATCH(orders!L$1,products!$A$1:$G$1,0))</f>
        <v>14.85</v>
      </c>
      <c r="M340" s="10">
        <f t="shared" si="15"/>
        <v>59.4</v>
      </c>
      <c r="N340" t="str">
        <f t="shared" si="16"/>
        <v>Excelsa</v>
      </c>
      <c r="O340" t="str">
        <f t="shared" si="17"/>
        <v>Light</v>
      </c>
      <c r="P340" t="str">
        <f>_xlfn.XLOOKUP(Table1[[#This Row],[Customer ID]],customers!$A$1:$A$1001,customers!$I$1:$I$1001,,0)</f>
        <v>No</v>
      </c>
    </row>
    <row r="341" spans="1:16" x14ac:dyDescent="0.25">
      <c r="A341" s="2" t="s">
        <v>2402</v>
      </c>
      <c r="B341" s="8">
        <v>44256</v>
      </c>
      <c r="C341" s="2" t="s">
        <v>2403</v>
      </c>
      <c r="D341" t="s">
        <v>6153</v>
      </c>
      <c r="E341" s="2">
        <v>2</v>
      </c>
      <c r="F341" s="2" t="str">
        <f>_xlfn.XLOOKUP(orders!C341,customers!$A$1:$A$1001,customers!$B$1:$B$1001,,0)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9">
        <f>INDEX(products!$A$1:$G$49,MATCH(orders!$D341,products!$A$1:$A$49,0),MATCH(orders!K$1,products!$A$1:$G$1,0))</f>
        <v>0.2</v>
      </c>
      <c r="L341" s="10">
        <f>INDEX(products!$A$1:$G$49,MATCH(orders!$D341,products!$A$1:$A$49,0),MATCH(orders!L$1,products!$A$1:$G$1,0))</f>
        <v>3.645</v>
      </c>
      <c r="M341" s="10">
        <f t="shared" si="15"/>
        <v>7.29</v>
      </c>
      <c r="N341" t="str">
        <f t="shared" si="16"/>
        <v>Excelsa</v>
      </c>
      <c r="O341" t="str">
        <f t="shared" si="17"/>
        <v>Dark</v>
      </c>
      <c r="P341" t="str">
        <f>_xlfn.XLOOKUP(Table1[[#This Row],[Customer ID]],customers!$A$1:$A$1001,customers!$I$1:$I$1001,,0)</f>
        <v>Yes</v>
      </c>
    </row>
    <row r="342" spans="1:16" x14ac:dyDescent="0.25">
      <c r="A342" s="2" t="s">
        <v>2408</v>
      </c>
      <c r="B342" s="8">
        <v>43528</v>
      </c>
      <c r="C342" s="2" t="s">
        <v>2409</v>
      </c>
      <c r="D342" t="s">
        <v>6144</v>
      </c>
      <c r="E342" s="2">
        <v>1</v>
      </c>
      <c r="F342" s="2" t="str">
        <f>_xlfn.XLOOKUP(orders!C342,customers!$A$1:$A$1001,customers!$B$1:$B$1001,,0)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9">
        <f>INDEX(products!$A$1:$G$49,MATCH(orders!$D342,products!$A$1:$A$49,0),MATCH(orders!K$1,products!$A$1:$G$1,0))</f>
        <v>0.5</v>
      </c>
      <c r="L342" s="10">
        <f>INDEX(products!$A$1:$G$49,MATCH(orders!$D342,products!$A$1:$A$49,0),MATCH(orders!L$1,products!$A$1:$G$1,0))</f>
        <v>7.29</v>
      </c>
      <c r="M342" s="10">
        <f t="shared" si="15"/>
        <v>7.29</v>
      </c>
      <c r="N342" t="str">
        <f t="shared" si="16"/>
        <v>Excelsa</v>
      </c>
      <c r="O342" t="str">
        <f t="shared" si="17"/>
        <v>Dark</v>
      </c>
      <c r="P342" t="str">
        <f>_xlfn.XLOOKUP(Table1[[#This Row],[Customer ID]],customers!$A$1:$A$1001,customers!$I$1:$I$1001,,0)</f>
        <v>Yes</v>
      </c>
    </row>
    <row r="343" spans="1:16" x14ac:dyDescent="0.25">
      <c r="A343" s="2" t="s">
        <v>2414</v>
      </c>
      <c r="B343" s="8">
        <v>43751</v>
      </c>
      <c r="C343" s="2" t="s">
        <v>2415</v>
      </c>
      <c r="D343" t="s">
        <v>6176</v>
      </c>
      <c r="E343" s="2">
        <v>2</v>
      </c>
      <c r="F343" s="2" t="str">
        <f>_xlfn.XLOOKUP(orders!C343,customers!$A$1:$A$1001,customers!$B$1:$B$1001,,0)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9">
        <f>INDEX(products!$A$1:$G$49,MATCH(orders!$D343,products!$A$1:$A$49,0),MATCH(orders!K$1,products!$A$1:$G$1,0))</f>
        <v>0.5</v>
      </c>
      <c r="L343" s="10">
        <f>INDEX(products!$A$1:$G$49,MATCH(orders!$D343,products!$A$1:$A$49,0),MATCH(orders!L$1,products!$A$1:$G$1,0))</f>
        <v>8.91</v>
      </c>
      <c r="M343" s="10">
        <f t="shared" si="15"/>
        <v>17.82</v>
      </c>
      <c r="N343" t="str">
        <f t="shared" si="16"/>
        <v>Excelsa</v>
      </c>
      <c r="O343" t="str">
        <f t="shared" si="17"/>
        <v>Light</v>
      </c>
      <c r="P343" t="str">
        <f>_xlfn.XLOOKUP(Table1[[#This Row],[Customer ID]],customers!$A$1:$A$1001,customers!$I$1:$I$1001,,0)</f>
        <v>No</v>
      </c>
    </row>
    <row r="344" spans="1:16" x14ac:dyDescent="0.25">
      <c r="A344" s="2" t="s">
        <v>2414</v>
      </c>
      <c r="B344" s="8">
        <v>43751</v>
      </c>
      <c r="C344" s="2" t="s">
        <v>2415</v>
      </c>
      <c r="D344" t="s">
        <v>6169</v>
      </c>
      <c r="E344" s="2">
        <v>5</v>
      </c>
      <c r="F344" s="2" t="str">
        <f>_xlfn.XLOOKUP(orders!C344,customers!$A$1:$A$1001,customers!$B$1:$B$1001,,0)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9">
        <f>INDEX(products!$A$1:$G$49,MATCH(orders!$D344,products!$A$1:$A$49,0),MATCH(orders!K$1,products!$A$1:$G$1,0))</f>
        <v>0.5</v>
      </c>
      <c r="L344" s="10">
        <f>INDEX(products!$A$1:$G$49,MATCH(orders!$D344,products!$A$1:$A$49,0),MATCH(orders!L$1,products!$A$1:$G$1,0))</f>
        <v>7.77</v>
      </c>
      <c r="M344" s="10">
        <f t="shared" si="15"/>
        <v>38.849999999999994</v>
      </c>
      <c r="N344" t="str">
        <f t="shared" si="16"/>
        <v>Liberica</v>
      </c>
      <c r="O344" t="str">
        <f t="shared" si="17"/>
        <v>Dark</v>
      </c>
      <c r="P344" t="str">
        <f>_xlfn.XLOOKUP(Table1[[#This Row],[Customer ID]],customers!$A$1:$A$1001,customers!$I$1:$I$1001,,0)</f>
        <v>No</v>
      </c>
    </row>
    <row r="345" spans="1:16" x14ac:dyDescent="0.25">
      <c r="A345" s="2" t="s">
        <v>2424</v>
      </c>
      <c r="B345" s="8">
        <v>43692</v>
      </c>
      <c r="C345" s="2" t="s">
        <v>2425</v>
      </c>
      <c r="D345" t="s">
        <v>6172</v>
      </c>
      <c r="E345" s="2">
        <v>6</v>
      </c>
      <c r="F345" s="2" t="str">
        <f>_xlfn.XLOOKUP(orders!C345,customers!$A$1:$A$1001,customers!$B$1:$B$1001,,0)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9">
        <f>INDEX(products!$A$1:$G$49,MATCH(orders!$D345,products!$A$1:$A$49,0),MATCH(orders!K$1,products!$A$1:$G$1,0))</f>
        <v>0.5</v>
      </c>
      <c r="L345" s="10">
        <f>INDEX(products!$A$1:$G$49,MATCH(orders!$D345,products!$A$1:$A$49,0),MATCH(orders!L$1,products!$A$1:$G$1,0))</f>
        <v>5.3699999999999992</v>
      </c>
      <c r="M345" s="10">
        <f t="shared" si="15"/>
        <v>32.22</v>
      </c>
      <c r="N345" t="str">
        <f t="shared" si="16"/>
        <v>Robusta</v>
      </c>
      <c r="O345" t="str">
        <f t="shared" si="17"/>
        <v>Dark</v>
      </c>
      <c r="P345" t="str">
        <f>_xlfn.XLOOKUP(Table1[[#This Row],[Customer ID]],customers!$A$1:$A$1001,customers!$I$1:$I$1001,,0)</f>
        <v>No</v>
      </c>
    </row>
    <row r="346" spans="1:16" x14ac:dyDescent="0.25">
      <c r="A346" s="2" t="s">
        <v>2429</v>
      </c>
      <c r="B346" s="8">
        <v>44529</v>
      </c>
      <c r="C346" s="2" t="s">
        <v>2430</v>
      </c>
      <c r="D346" t="s">
        <v>6138</v>
      </c>
      <c r="E346" s="2">
        <v>2</v>
      </c>
      <c r="F346" s="2" t="str">
        <f>_xlfn.XLOOKUP(orders!C346,customers!$A$1:$A$1001,customers!$B$1:$B$1001,,0)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9">
        <f>INDEX(products!$A$1:$G$49,MATCH(orders!$D346,products!$A$1:$A$49,0),MATCH(orders!K$1,products!$A$1:$G$1,0))</f>
        <v>1</v>
      </c>
      <c r="L346" s="10">
        <f>INDEX(products!$A$1:$G$49,MATCH(orders!$D346,products!$A$1:$A$49,0),MATCH(orders!L$1,products!$A$1:$G$1,0))</f>
        <v>9.9499999999999993</v>
      </c>
      <c r="M346" s="10">
        <f t="shared" si="15"/>
        <v>19.899999999999999</v>
      </c>
      <c r="N346" t="str">
        <f t="shared" si="16"/>
        <v>Robusta</v>
      </c>
      <c r="O346" t="str">
        <f t="shared" si="17"/>
        <v>Medium</v>
      </c>
      <c r="P346" t="str">
        <f>_xlfn.XLOOKUP(Table1[[#This Row],[Customer ID]],customers!$A$1:$A$1001,customers!$I$1:$I$1001,,0)</f>
        <v>Yes</v>
      </c>
    </row>
    <row r="347" spans="1:16" x14ac:dyDescent="0.25">
      <c r="A347" s="2" t="s">
        <v>2434</v>
      </c>
      <c r="B347" s="8">
        <v>43849</v>
      </c>
      <c r="C347" s="2" t="s">
        <v>2435</v>
      </c>
      <c r="D347" t="s">
        <v>6179</v>
      </c>
      <c r="E347" s="2">
        <v>5</v>
      </c>
      <c r="F347" s="2" t="str">
        <f>_xlfn.XLOOKUP(orders!C347,customers!$A$1:$A$1001,customers!$B$1:$B$1001,,0)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9">
        <f>INDEX(products!$A$1:$G$49,MATCH(orders!$D347,products!$A$1:$A$49,0),MATCH(orders!K$1,products!$A$1:$G$1,0))</f>
        <v>1</v>
      </c>
      <c r="L347" s="10">
        <f>INDEX(products!$A$1:$G$49,MATCH(orders!$D347,products!$A$1:$A$49,0),MATCH(orders!L$1,products!$A$1:$G$1,0))</f>
        <v>11.95</v>
      </c>
      <c r="M347" s="10">
        <f t="shared" si="15"/>
        <v>59.75</v>
      </c>
      <c r="N347" t="str">
        <f t="shared" si="16"/>
        <v>Robusta</v>
      </c>
      <c r="O347" t="str">
        <f t="shared" si="17"/>
        <v>Light</v>
      </c>
      <c r="P347" t="str">
        <f>_xlfn.XLOOKUP(Table1[[#This Row],[Customer ID]],customers!$A$1:$A$1001,customers!$I$1:$I$1001,,0)</f>
        <v>No</v>
      </c>
    </row>
    <row r="348" spans="1:16" x14ac:dyDescent="0.25">
      <c r="A348" s="2" t="s">
        <v>2440</v>
      </c>
      <c r="B348" s="8">
        <v>44344</v>
      </c>
      <c r="C348" s="2" t="s">
        <v>2441</v>
      </c>
      <c r="D348" t="s">
        <v>6180</v>
      </c>
      <c r="E348" s="2">
        <v>3</v>
      </c>
      <c r="F348" s="2" t="str">
        <f>_xlfn.XLOOKUP(orders!C348,customers!$A$1:$A$1001,customers!$B$1:$B$1001,,0)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9">
        <f>INDEX(products!$A$1:$G$49,MATCH(orders!$D348,products!$A$1:$A$49,0),MATCH(orders!K$1,products!$A$1:$G$1,0))</f>
        <v>0.5</v>
      </c>
      <c r="L348" s="10">
        <f>INDEX(products!$A$1:$G$49,MATCH(orders!$D348,products!$A$1:$A$49,0),MATCH(orders!L$1,products!$A$1:$G$1,0))</f>
        <v>7.77</v>
      </c>
      <c r="M348" s="10">
        <f t="shared" si="15"/>
        <v>23.31</v>
      </c>
      <c r="N348" t="str">
        <f t="shared" si="16"/>
        <v>Arabica</v>
      </c>
      <c r="O348" t="str">
        <f t="shared" si="17"/>
        <v>Light</v>
      </c>
      <c r="P348" t="str">
        <f>_xlfn.XLOOKUP(Table1[[#This Row],[Customer ID]],customers!$A$1:$A$1001,customers!$I$1:$I$1001,,0)</f>
        <v>Yes</v>
      </c>
    </row>
    <row r="349" spans="1:16" x14ac:dyDescent="0.25">
      <c r="A349" s="2" t="s">
        <v>2446</v>
      </c>
      <c r="B349" s="8">
        <v>44576</v>
      </c>
      <c r="C349" s="2" t="s">
        <v>2447</v>
      </c>
      <c r="D349" t="s">
        <v>6162</v>
      </c>
      <c r="E349" s="2">
        <v>3</v>
      </c>
      <c r="F349" s="2" t="str">
        <f>_xlfn.XLOOKUP(orders!C349,customers!$A$1:$A$1001,customers!$B$1:$B$1001,,0)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9">
        <f>INDEX(products!$A$1:$G$49,MATCH(orders!$D349,products!$A$1:$A$49,0),MATCH(orders!K$1,products!$A$1:$G$1,0))</f>
        <v>1</v>
      </c>
      <c r="L349" s="10">
        <f>INDEX(products!$A$1:$G$49,MATCH(orders!$D349,products!$A$1:$A$49,0),MATCH(orders!L$1,products!$A$1:$G$1,0))</f>
        <v>14.55</v>
      </c>
      <c r="M349" s="10">
        <f t="shared" si="15"/>
        <v>43.650000000000006</v>
      </c>
      <c r="N349" t="str">
        <f t="shared" si="16"/>
        <v>Liberica</v>
      </c>
      <c r="O349" t="str">
        <f t="shared" si="17"/>
        <v>Medium</v>
      </c>
      <c r="P349" t="str">
        <f>_xlfn.XLOOKUP(Table1[[#This Row],[Customer ID]],customers!$A$1:$A$1001,customers!$I$1:$I$1001,,0)</f>
        <v>No</v>
      </c>
    </row>
    <row r="350" spans="1:16" x14ac:dyDescent="0.25">
      <c r="A350" s="2" t="s">
        <v>2452</v>
      </c>
      <c r="B350" s="8">
        <v>43803</v>
      </c>
      <c r="C350" s="2" t="s">
        <v>2453</v>
      </c>
      <c r="D350" t="s">
        <v>6148</v>
      </c>
      <c r="E350" s="2">
        <v>6</v>
      </c>
      <c r="F350" s="2" t="str">
        <f>_xlfn.XLOOKUP(orders!C350,customers!$A$1:$A$1001,customers!$B$1:$B$1001,,0)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9">
        <f>INDEX(products!$A$1:$G$49,MATCH(orders!$D350,products!$A$1:$A$49,0),MATCH(orders!K$1,products!$A$1:$G$1,0))</f>
        <v>2.5</v>
      </c>
      <c r="L350" s="10">
        <f>INDEX(products!$A$1:$G$49,MATCH(orders!$D350,products!$A$1:$A$49,0),MATCH(orders!L$1,products!$A$1:$G$1,0))</f>
        <v>34.154999999999994</v>
      </c>
      <c r="M350" s="10">
        <f t="shared" si="15"/>
        <v>204.92999999999995</v>
      </c>
      <c r="N350" t="str">
        <f t="shared" si="16"/>
        <v>Excelsa</v>
      </c>
      <c r="O350" t="str">
        <f t="shared" si="17"/>
        <v>Light</v>
      </c>
      <c r="P350" t="str">
        <f>_xlfn.XLOOKUP(Table1[[#This Row],[Customer ID]],customers!$A$1:$A$1001,customers!$I$1:$I$1001,,0)</f>
        <v>No</v>
      </c>
    </row>
    <row r="351" spans="1:16" x14ac:dyDescent="0.25">
      <c r="A351" s="2" t="s">
        <v>2458</v>
      </c>
      <c r="B351" s="8">
        <v>44743</v>
      </c>
      <c r="C351" s="2" t="s">
        <v>2459</v>
      </c>
      <c r="D351" t="s">
        <v>6178</v>
      </c>
      <c r="E351" s="2">
        <v>4</v>
      </c>
      <c r="F351" s="2" t="str">
        <f>_xlfn.XLOOKUP(orders!C351,customers!$A$1:$A$1001,customers!$B$1:$B$1001,,0)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9">
        <f>INDEX(products!$A$1:$G$49,MATCH(orders!$D351,products!$A$1:$A$49,0),MATCH(orders!K$1,products!$A$1:$G$1,0))</f>
        <v>0.2</v>
      </c>
      <c r="L351" s="10">
        <f>INDEX(products!$A$1:$G$49,MATCH(orders!$D351,products!$A$1:$A$49,0),MATCH(orders!L$1,products!$A$1:$G$1,0))</f>
        <v>3.5849999999999995</v>
      </c>
      <c r="M351" s="10">
        <f t="shared" si="15"/>
        <v>14.339999999999998</v>
      </c>
      <c r="N351" t="str">
        <f t="shared" si="16"/>
        <v>Robusta</v>
      </c>
      <c r="O351" t="str">
        <f t="shared" si="17"/>
        <v>Light</v>
      </c>
      <c r="P351" t="str">
        <f>_xlfn.XLOOKUP(Table1[[#This Row],[Customer ID]],customers!$A$1:$A$1001,customers!$I$1:$I$1001,,0)</f>
        <v>No</v>
      </c>
    </row>
    <row r="352" spans="1:16" x14ac:dyDescent="0.25">
      <c r="A352" s="2" t="s">
        <v>2464</v>
      </c>
      <c r="B352" s="8">
        <v>43592</v>
      </c>
      <c r="C352" s="2" t="s">
        <v>2465</v>
      </c>
      <c r="D352" t="s">
        <v>6158</v>
      </c>
      <c r="E352" s="2">
        <v>4</v>
      </c>
      <c r="F352" s="2" t="str">
        <f>_xlfn.XLOOKUP(orders!C352,customers!$A$1:$A$1001,customers!$B$1:$B$1001,,0)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9">
        <f>INDEX(products!$A$1:$G$49,MATCH(orders!$D352,products!$A$1:$A$49,0),MATCH(orders!K$1,products!$A$1:$G$1,0))</f>
        <v>0.5</v>
      </c>
      <c r="L352" s="10">
        <f>INDEX(products!$A$1:$G$49,MATCH(orders!$D352,products!$A$1:$A$49,0),MATCH(orders!L$1,products!$A$1:$G$1,0))</f>
        <v>5.97</v>
      </c>
      <c r="M352" s="10">
        <f t="shared" si="15"/>
        <v>23.88</v>
      </c>
      <c r="N352" t="str">
        <f t="shared" si="16"/>
        <v>Arabica</v>
      </c>
      <c r="O352" t="str">
        <f t="shared" si="17"/>
        <v>Dark</v>
      </c>
      <c r="P352" t="str">
        <f>_xlfn.XLOOKUP(Table1[[#This Row],[Customer ID]],customers!$A$1:$A$1001,customers!$I$1:$I$1001,,0)</f>
        <v>No</v>
      </c>
    </row>
    <row r="353" spans="1:16" x14ac:dyDescent="0.25">
      <c r="A353" s="2" t="s">
        <v>2470</v>
      </c>
      <c r="B353" s="8">
        <v>44066</v>
      </c>
      <c r="C353" s="2" t="s">
        <v>2471</v>
      </c>
      <c r="D353" t="s">
        <v>6155</v>
      </c>
      <c r="E353" s="2">
        <v>2</v>
      </c>
      <c r="F353" s="2" t="str">
        <f>_xlfn.XLOOKUP(orders!C353,customers!$A$1:$A$1001,customers!$B$1:$B$1001,,0)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9">
        <f>INDEX(products!$A$1:$G$49,MATCH(orders!$D353,products!$A$1:$A$49,0),MATCH(orders!K$1,products!$A$1:$G$1,0))</f>
        <v>1</v>
      </c>
      <c r="L353" s="10">
        <f>INDEX(products!$A$1:$G$49,MATCH(orders!$D353,products!$A$1:$A$49,0),MATCH(orders!L$1,products!$A$1:$G$1,0))</f>
        <v>11.25</v>
      </c>
      <c r="M353" s="10">
        <f t="shared" si="15"/>
        <v>22.5</v>
      </c>
      <c r="N353" t="str">
        <f t="shared" si="16"/>
        <v>Arabica</v>
      </c>
      <c r="O353" t="str">
        <f t="shared" si="17"/>
        <v>Medium</v>
      </c>
      <c r="P353" t="str">
        <f>_xlfn.XLOOKUP(Table1[[#This Row],[Customer ID]],customers!$A$1:$A$1001,customers!$I$1:$I$1001,,0)</f>
        <v>No</v>
      </c>
    </row>
    <row r="354" spans="1:16" x14ac:dyDescent="0.25">
      <c r="A354" s="2" t="s">
        <v>2476</v>
      </c>
      <c r="B354" s="8">
        <v>43984</v>
      </c>
      <c r="C354" s="2" t="s">
        <v>2331</v>
      </c>
      <c r="D354" t="s">
        <v>6144</v>
      </c>
      <c r="E354" s="2">
        <v>5</v>
      </c>
      <c r="F354" s="2" t="str">
        <f>_xlfn.XLOOKUP(orders!C354,customers!$A$1:$A$1001,customers!$B$1:$B$1001,,0)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9">
        <f>INDEX(products!$A$1:$G$49,MATCH(orders!$D354,products!$A$1:$A$49,0),MATCH(orders!K$1,products!$A$1:$G$1,0))</f>
        <v>0.5</v>
      </c>
      <c r="L354" s="10">
        <f>INDEX(products!$A$1:$G$49,MATCH(orders!$D354,products!$A$1:$A$49,0),MATCH(orders!L$1,products!$A$1:$G$1,0))</f>
        <v>7.29</v>
      </c>
      <c r="M354" s="10">
        <f t="shared" si="15"/>
        <v>36.450000000000003</v>
      </c>
      <c r="N354" t="str">
        <f t="shared" si="16"/>
        <v>Excelsa</v>
      </c>
      <c r="O354" t="str">
        <f t="shared" si="17"/>
        <v>Dark</v>
      </c>
      <c r="P354" t="str">
        <f>_xlfn.XLOOKUP(Table1[[#This Row],[Customer ID]],customers!$A$1:$A$1001,customers!$I$1:$I$1001,,0)</f>
        <v>No</v>
      </c>
    </row>
    <row r="355" spans="1:16" x14ac:dyDescent="0.25">
      <c r="A355" s="2" t="s">
        <v>2482</v>
      </c>
      <c r="B355" s="8">
        <v>43860</v>
      </c>
      <c r="C355" s="2" t="s">
        <v>2483</v>
      </c>
      <c r="D355" t="s">
        <v>6157</v>
      </c>
      <c r="E355" s="2">
        <v>4</v>
      </c>
      <c r="F355" s="2" t="str">
        <f>_xlfn.XLOOKUP(orders!C355,customers!$A$1:$A$1001,customers!$B$1:$B$1001,,0)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9">
        <f>INDEX(products!$A$1:$G$49,MATCH(orders!$D355,products!$A$1:$A$49,0),MATCH(orders!K$1,products!$A$1:$G$1,0))</f>
        <v>0.5</v>
      </c>
      <c r="L355" s="10">
        <f>INDEX(products!$A$1:$G$49,MATCH(orders!$D355,products!$A$1:$A$49,0),MATCH(orders!L$1,products!$A$1:$G$1,0))</f>
        <v>6.75</v>
      </c>
      <c r="M355" s="10">
        <f t="shared" si="15"/>
        <v>27</v>
      </c>
      <c r="N355" t="str">
        <f t="shared" si="16"/>
        <v>Arabica</v>
      </c>
      <c r="O355" t="str">
        <f t="shared" si="17"/>
        <v>Medium</v>
      </c>
      <c r="P355" t="str">
        <f>_xlfn.XLOOKUP(Table1[[#This Row],[Customer ID]],customers!$A$1:$A$1001,customers!$I$1:$I$1001,,0)</f>
        <v>Yes</v>
      </c>
    </row>
    <row r="356" spans="1:16" x14ac:dyDescent="0.25">
      <c r="A356" s="2" t="s">
        <v>2487</v>
      </c>
      <c r="B356" s="8">
        <v>43876</v>
      </c>
      <c r="C356" s="2" t="s">
        <v>2488</v>
      </c>
      <c r="D356" t="s">
        <v>6175</v>
      </c>
      <c r="E356" s="2">
        <v>6</v>
      </c>
      <c r="F356" s="2" t="str">
        <f>_xlfn.XLOOKUP(orders!C356,customers!$A$1:$A$1001,customers!$B$1:$B$1001,,0)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9">
        <f>INDEX(products!$A$1:$G$49,MATCH(orders!$D356,products!$A$1:$A$49,0),MATCH(orders!K$1,products!$A$1:$G$1,0))</f>
        <v>2.5</v>
      </c>
      <c r="L356" s="10">
        <f>INDEX(products!$A$1:$G$49,MATCH(orders!$D356,products!$A$1:$A$49,0),MATCH(orders!L$1,products!$A$1:$G$1,0))</f>
        <v>25.874999999999996</v>
      </c>
      <c r="M356" s="10">
        <f t="shared" si="15"/>
        <v>155.24999999999997</v>
      </c>
      <c r="N356" t="str">
        <f t="shared" si="16"/>
        <v>Arabica</v>
      </c>
      <c r="O356" t="str">
        <f t="shared" si="17"/>
        <v>Medium</v>
      </c>
      <c r="P356" t="str">
        <f>_xlfn.XLOOKUP(Table1[[#This Row],[Customer ID]],customers!$A$1:$A$1001,customers!$I$1:$I$1001,,0)</f>
        <v>No</v>
      </c>
    </row>
    <row r="357" spans="1:16" x14ac:dyDescent="0.25">
      <c r="A357" s="2" t="s">
        <v>2492</v>
      </c>
      <c r="B357" s="8">
        <v>44358</v>
      </c>
      <c r="C357" s="2" t="s">
        <v>2493</v>
      </c>
      <c r="D357" t="s">
        <v>6168</v>
      </c>
      <c r="E357" s="2">
        <v>5</v>
      </c>
      <c r="F357" s="2" t="str">
        <f>_xlfn.XLOOKUP(orders!C357,customers!$A$1:$A$1001,customers!$B$1:$B$1001,,0)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9">
        <f>INDEX(products!$A$1:$G$49,MATCH(orders!$D357,products!$A$1:$A$49,0),MATCH(orders!K$1,products!$A$1:$G$1,0))</f>
        <v>2.5</v>
      </c>
      <c r="L357" s="10">
        <f>INDEX(products!$A$1:$G$49,MATCH(orders!$D357,products!$A$1:$A$49,0),MATCH(orders!L$1,products!$A$1:$G$1,0))</f>
        <v>22.884999999999998</v>
      </c>
      <c r="M357" s="10">
        <f t="shared" si="15"/>
        <v>114.42499999999998</v>
      </c>
      <c r="N357" t="str">
        <f t="shared" si="16"/>
        <v>Arabica</v>
      </c>
      <c r="O357" t="str">
        <f t="shared" si="17"/>
        <v>Dark</v>
      </c>
      <c r="P357" t="str">
        <f>_xlfn.XLOOKUP(Table1[[#This Row],[Customer ID]],customers!$A$1:$A$1001,customers!$I$1:$I$1001,,0)</f>
        <v>Yes</v>
      </c>
    </row>
    <row r="358" spans="1:16" x14ac:dyDescent="0.25">
      <c r="A358" s="2" t="s">
        <v>2498</v>
      </c>
      <c r="B358" s="8">
        <v>44631</v>
      </c>
      <c r="C358" s="2" t="s">
        <v>2499</v>
      </c>
      <c r="D358" t="s">
        <v>6143</v>
      </c>
      <c r="E358" s="2">
        <v>4</v>
      </c>
      <c r="F358" s="2" t="str">
        <f>_xlfn.XLOOKUP(orders!C358,customers!$A$1:$A$1001,customers!$B$1:$B$1001,,0)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9">
        <f>INDEX(products!$A$1:$G$49,MATCH(orders!$D358,products!$A$1:$A$49,0),MATCH(orders!K$1,products!$A$1:$G$1,0))</f>
        <v>1</v>
      </c>
      <c r="L358" s="10">
        <f>INDEX(products!$A$1:$G$49,MATCH(orders!$D358,products!$A$1:$A$49,0),MATCH(orders!L$1,products!$A$1:$G$1,0))</f>
        <v>12.95</v>
      </c>
      <c r="M358" s="10">
        <f t="shared" si="15"/>
        <v>51.8</v>
      </c>
      <c r="N358" t="str">
        <f t="shared" si="16"/>
        <v>Liberica</v>
      </c>
      <c r="O358" t="str">
        <f t="shared" si="17"/>
        <v>Dark</v>
      </c>
      <c r="P358" t="str">
        <f>_xlfn.XLOOKUP(Table1[[#This Row],[Customer ID]],customers!$A$1:$A$1001,customers!$I$1:$I$1001,,0)</f>
        <v>Yes</v>
      </c>
    </row>
    <row r="359" spans="1:16" x14ac:dyDescent="0.25">
      <c r="A359" s="2" t="s">
        <v>2504</v>
      </c>
      <c r="B359" s="8">
        <v>44448</v>
      </c>
      <c r="C359" s="2" t="s">
        <v>2505</v>
      </c>
      <c r="D359" t="s">
        <v>6175</v>
      </c>
      <c r="E359" s="2">
        <v>6</v>
      </c>
      <c r="F359" s="2" t="str">
        <f>_xlfn.XLOOKUP(orders!C359,customers!$A$1:$A$1001,customers!$B$1:$B$1001,,0)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9">
        <f>INDEX(products!$A$1:$G$49,MATCH(orders!$D359,products!$A$1:$A$49,0),MATCH(orders!K$1,products!$A$1:$G$1,0))</f>
        <v>2.5</v>
      </c>
      <c r="L359" s="10">
        <f>INDEX(products!$A$1:$G$49,MATCH(orders!$D359,products!$A$1:$A$49,0),MATCH(orders!L$1,products!$A$1:$G$1,0))</f>
        <v>25.874999999999996</v>
      </c>
      <c r="M359" s="10">
        <f t="shared" si="15"/>
        <v>155.24999999999997</v>
      </c>
      <c r="N359" t="str">
        <f t="shared" si="16"/>
        <v>Arabica</v>
      </c>
      <c r="O359" t="str">
        <f t="shared" si="17"/>
        <v>Medium</v>
      </c>
      <c r="P359" t="str">
        <f>_xlfn.XLOOKUP(Table1[[#This Row],[Customer ID]],customers!$A$1:$A$1001,customers!$I$1:$I$1001,,0)</f>
        <v>No</v>
      </c>
    </row>
    <row r="360" spans="1:16" x14ac:dyDescent="0.25">
      <c r="A360" s="2" t="s">
        <v>2509</v>
      </c>
      <c r="B360" s="8">
        <v>43599</v>
      </c>
      <c r="C360" s="2" t="s">
        <v>2510</v>
      </c>
      <c r="D360" t="s">
        <v>6182</v>
      </c>
      <c r="E360" s="2">
        <v>1</v>
      </c>
      <c r="F360" s="2" t="str">
        <f>_xlfn.XLOOKUP(orders!C360,customers!$A$1:$A$1001,customers!$B$1:$B$1001,,0)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9">
        <f>INDEX(products!$A$1:$G$49,MATCH(orders!$D360,products!$A$1:$A$49,0),MATCH(orders!K$1,products!$A$1:$G$1,0))</f>
        <v>2.5</v>
      </c>
      <c r="L360" s="10">
        <f>INDEX(products!$A$1:$G$49,MATCH(orders!$D360,products!$A$1:$A$49,0),MATCH(orders!L$1,products!$A$1:$G$1,0))</f>
        <v>29.784999999999997</v>
      </c>
      <c r="M360" s="10">
        <f t="shared" si="15"/>
        <v>29.784999999999997</v>
      </c>
      <c r="N360" t="str">
        <f t="shared" si="16"/>
        <v>Arabica</v>
      </c>
      <c r="O360" t="str">
        <f t="shared" si="17"/>
        <v>Light</v>
      </c>
      <c r="P360" t="str">
        <f>_xlfn.XLOOKUP(Table1[[#This Row],[Customer ID]],customers!$A$1:$A$1001,customers!$I$1:$I$1001,,0)</f>
        <v>No</v>
      </c>
    </row>
    <row r="361" spans="1:16" x14ac:dyDescent="0.25">
      <c r="A361" s="2" t="s">
        <v>2515</v>
      </c>
      <c r="B361" s="8">
        <v>43563</v>
      </c>
      <c r="C361" s="2" t="s">
        <v>2516</v>
      </c>
      <c r="D361" t="s">
        <v>6178</v>
      </c>
      <c r="E361" s="2">
        <v>6</v>
      </c>
      <c r="F361" s="2" t="str">
        <f>_xlfn.XLOOKUP(orders!C361,customers!$A$1:$A$1001,customers!$B$1:$B$1001,,0)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9">
        <f>INDEX(products!$A$1:$G$49,MATCH(orders!$D361,products!$A$1:$A$49,0),MATCH(orders!K$1,products!$A$1:$G$1,0))</f>
        <v>0.2</v>
      </c>
      <c r="L361" s="10">
        <f>INDEX(products!$A$1:$G$49,MATCH(orders!$D361,products!$A$1:$A$49,0),MATCH(orders!L$1,products!$A$1:$G$1,0))</f>
        <v>3.5849999999999995</v>
      </c>
      <c r="M361" s="10">
        <f t="shared" si="15"/>
        <v>21.509999999999998</v>
      </c>
      <c r="N361" t="str">
        <f t="shared" si="16"/>
        <v>Robusta</v>
      </c>
      <c r="O361" t="str">
        <f t="shared" si="17"/>
        <v>Light</v>
      </c>
      <c r="P361" t="str">
        <f>_xlfn.XLOOKUP(Table1[[#This Row],[Customer ID]],customers!$A$1:$A$1001,customers!$I$1:$I$1001,,0)</f>
        <v>No</v>
      </c>
    </row>
    <row r="362" spans="1:16" x14ac:dyDescent="0.25">
      <c r="A362" s="2" t="s">
        <v>2521</v>
      </c>
      <c r="B362" s="8">
        <v>44058</v>
      </c>
      <c r="C362" s="2" t="s">
        <v>2522</v>
      </c>
      <c r="D362" t="s">
        <v>6149</v>
      </c>
      <c r="E362" s="2">
        <v>2</v>
      </c>
      <c r="F362" s="2" t="str">
        <f>_xlfn.XLOOKUP(orders!C362,customers!$A$1:$A$1001,customers!$B$1:$B$1001,,0)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9">
        <f>INDEX(products!$A$1:$G$49,MATCH(orders!$D362,products!$A$1:$A$49,0),MATCH(orders!K$1,products!$A$1:$G$1,0))</f>
        <v>2.5</v>
      </c>
      <c r="L362" s="10">
        <f>INDEX(products!$A$1:$G$49,MATCH(orders!$D362,products!$A$1:$A$49,0),MATCH(orders!L$1,products!$A$1:$G$1,0))</f>
        <v>20.584999999999997</v>
      </c>
      <c r="M362" s="10">
        <f t="shared" si="15"/>
        <v>41.169999999999995</v>
      </c>
      <c r="N362" t="str">
        <f t="shared" si="16"/>
        <v>Robusta</v>
      </c>
      <c r="O362" t="str">
        <f t="shared" si="17"/>
        <v>Dark</v>
      </c>
      <c r="P362" t="str">
        <f>_xlfn.XLOOKUP(Table1[[#This Row],[Customer ID]],customers!$A$1:$A$1001,customers!$I$1:$I$1001,,0)</f>
        <v>No</v>
      </c>
    </row>
    <row r="363" spans="1:16" x14ac:dyDescent="0.25">
      <c r="A363" s="2" t="s">
        <v>2521</v>
      </c>
      <c r="B363" s="8">
        <v>44058</v>
      </c>
      <c r="C363" s="2" t="s">
        <v>2522</v>
      </c>
      <c r="D363" t="s">
        <v>6146</v>
      </c>
      <c r="E363" s="2">
        <v>1</v>
      </c>
      <c r="F363" s="2" t="str">
        <f>_xlfn.XLOOKUP(orders!C363,customers!$A$1:$A$1001,customers!$B$1:$B$1001,,0)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9">
        <f>INDEX(products!$A$1:$G$49,MATCH(orders!$D363,products!$A$1:$A$49,0),MATCH(orders!K$1,products!$A$1:$G$1,0))</f>
        <v>0.5</v>
      </c>
      <c r="L363" s="10">
        <f>INDEX(products!$A$1:$G$49,MATCH(orders!$D363,products!$A$1:$A$49,0),MATCH(orders!L$1,products!$A$1:$G$1,0))</f>
        <v>5.97</v>
      </c>
      <c r="M363" s="10">
        <f t="shared" si="15"/>
        <v>5.97</v>
      </c>
      <c r="N363" t="str">
        <f t="shared" si="16"/>
        <v>Robusta</v>
      </c>
      <c r="O363" t="str">
        <f t="shared" si="17"/>
        <v>Medium</v>
      </c>
      <c r="P363" t="str">
        <f>_xlfn.XLOOKUP(Table1[[#This Row],[Customer ID]],customers!$A$1:$A$1001,customers!$I$1:$I$1001,,0)</f>
        <v>No</v>
      </c>
    </row>
    <row r="364" spans="1:16" x14ac:dyDescent="0.25">
      <c r="A364" s="2" t="s">
        <v>2532</v>
      </c>
      <c r="B364" s="8">
        <v>44686</v>
      </c>
      <c r="C364" s="2" t="s">
        <v>2533</v>
      </c>
      <c r="D364" t="s">
        <v>6171</v>
      </c>
      <c r="E364" s="2">
        <v>5</v>
      </c>
      <c r="F364" s="2" t="str">
        <f>_xlfn.XLOOKUP(orders!C364,customers!$A$1:$A$1001,customers!$B$1:$B$1001,,0)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9">
        <f>INDEX(products!$A$1:$G$49,MATCH(orders!$D364,products!$A$1:$A$49,0),MATCH(orders!K$1,products!$A$1:$G$1,0))</f>
        <v>1</v>
      </c>
      <c r="L364" s="10">
        <f>INDEX(products!$A$1:$G$49,MATCH(orders!$D364,products!$A$1:$A$49,0),MATCH(orders!L$1,products!$A$1:$G$1,0))</f>
        <v>14.85</v>
      </c>
      <c r="M364" s="10">
        <f t="shared" si="15"/>
        <v>74.25</v>
      </c>
      <c r="N364" t="str">
        <f t="shared" si="16"/>
        <v>Excelsa</v>
      </c>
      <c r="O364" t="str">
        <f t="shared" si="17"/>
        <v>Light</v>
      </c>
      <c r="P364" t="str">
        <f>_xlfn.XLOOKUP(Table1[[#This Row],[Customer ID]],customers!$A$1:$A$1001,customers!$I$1:$I$1001,,0)</f>
        <v>Yes</v>
      </c>
    </row>
    <row r="365" spans="1:16" x14ac:dyDescent="0.25">
      <c r="A365" s="2" t="s">
        <v>2538</v>
      </c>
      <c r="B365" s="8">
        <v>44282</v>
      </c>
      <c r="C365" s="2" t="s">
        <v>2539</v>
      </c>
      <c r="D365" t="s">
        <v>6162</v>
      </c>
      <c r="E365" s="2">
        <v>6</v>
      </c>
      <c r="F365" s="2" t="str">
        <f>_xlfn.XLOOKUP(orders!C365,customers!$A$1:$A$1001,customers!$B$1:$B$1001,,0)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9">
        <f>INDEX(products!$A$1:$G$49,MATCH(orders!$D365,products!$A$1:$A$49,0),MATCH(orders!K$1,products!$A$1:$G$1,0))</f>
        <v>1</v>
      </c>
      <c r="L365" s="10">
        <f>INDEX(products!$A$1:$G$49,MATCH(orders!$D365,products!$A$1:$A$49,0),MATCH(orders!L$1,products!$A$1:$G$1,0))</f>
        <v>14.55</v>
      </c>
      <c r="M365" s="10">
        <f t="shared" si="15"/>
        <v>87.300000000000011</v>
      </c>
      <c r="N365" t="str">
        <f t="shared" si="16"/>
        <v>Liberica</v>
      </c>
      <c r="O365" t="str">
        <f t="shared" si="17"/>
        <v>Medium</v>
      </c>
      <c r="P365" t="str">
        <f>_xlfn.XLOOKUP(Table1[[#This Row],[Customer ID]],customers!$A$1:$A$1001,customers!$I$1:$I$1001,,0)</f>
        <v>No</v>
      </c>
    </row>
    <row r="366" spans="1:16" x14ac:dyDescent="0.25">
      <c r="A366" s="2" t="s">
        <v>2543</v>
      </c>
      <c r="B366" s="8">
        <v>43582</v>
      </c>
      <c r="C366" s="2" t="s">
        <v>2544</v>
      </c>
      <c r="D366" t="s">
        <v>6183</v>
      </c>
      <c r="E366" s="2">
        <v>6</v>
      </c>
      <c r="F366" s="2" t="str">
        <f>_xlfn.XLOOKUP(orders!C366,customers!$A$1:$A$1001,customers!$B$1:$B$1001,,0)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9">
        <f>INDEX(products!$A$1:$G$49,MATCH(orders!$D366,products!$A$1:$A$49,0),MATCH(orders!K$1,products!$A$1:$G$1,0))</f>
        <v>1</v>
      </c>
      <c r="L366" s="10">
        <f>INDEX(products!$A$1:$G$49,MATCH(orders!$D366,products!$A$1:$A$49,0),MATCH(orders!L$1,products!$A$1:$G$1,0))</f>
        <v>12.15</v>
      </c>
      <c r="M366" s="10">
        <f t="shared" si="15"/>
        <v>72.900000000000006</v>
      </c>
      <c r="N366" t="str">
        <f t="shared" si="16"/>
        <v>Excelsa</v>
      </c>
      <c r="O366" t="str">
        <f t="shared" si="17"/>
        <v>Dark</v>
      </c>
      <c r="P366" t="str">
        <f>_xlfn.XLOOKUP(Table1[[#This Row],[Customer ID]],customers!$A$1:$A$1001,customers!$I$1:$I$1001,,0)</f>
        <v>Yes</v>
      </c>
    </row>
    <row r="367" spans="1:16" x14ac:dyDescent="0.25">
      <c r="A367" s="2" t="s">
        <v>2549</v>
      </c>
      <c r="B367" s="8">
        <v>44464</v>
      </c>
      <c r="C367" s="2" t="s">
        <v>2550</v>
      </c>
      <c r="D367" t="s">
        <v>6169</v>
      </c>
      <c r="E367" s="2">
        <v>1</v>
      </c>
      <c r="F367" s="2" t="str">
        <f>_xlfn.XLOOKUP(orders!C367,customers!$A$1:$A$1001,customers!$B$1:$B$1001,,0)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9">
        <f>INDEX(products!$A$1:$G$49,MATCH(orders!$D367,products!$A$1:$A$49,0),MATCH(orders!K$1,products!$A$1:$G$1,0))</f>
        <v>0.5</v>
      </c>
      <c r="L367" s="10">
        <f>INDEX(products!$A$1:$G$49,MATCH(orders!$D367,products!$A$1:$A$49,0),MATCH(orders!L$1,products!$A$1:$G$1,0))</f>
        <v>7.77</v>
      </c>
      <c r="M367" s="10">
        <f t="shared" si="15"/>
        <v>7.77</v>
      </c>
      <c r="N367" t="str">
        <f t="shared" si="16"/>
        <v>Liberica</v>
      </c>
      <c r="O367" t="str">
        <f t="shared" si="17"/>
        <v>Dark</v>
      </c>
      <c r="P367" t="str">
        <f>_xlfn.XLOOKUP(Table1[[#This Row],[Customer ID]],customers!$A$1:$A$1001,customers!$I$1:$I$1001,,0)</f>
        <v>No</v>
      </c>
    </row>
    <row r="368" spans="1:16" x14ac:dyDescent="0.25">
      <c r="A368" s="2" t="s">
        <v>2554</v>
      </c>
      <c r="B368" s="8">
        <v>43874</v>
      </c>
      <c r="C368" s="2" t="s">
        <v>2555</v>
      </c>
      <c r="D368" t="s">
        <v>6144</v>
      </c>
      <c r="E368" s="2">
        <v>6</v>
      </c>
      <c r="F368" s="2" t="str">
        <f>_xlfn.XLOOKUP(orders!C368,customers!$A$1:$A$1001,customers!$B$1:$B$1001,,0)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9">
        <f>INDEX(products!$A$1:$G$49,MATCH(orders!$D368,products!$A$1:$A$49,0),MATCH(orders!K$1,products!$A$1:$G$1,0))</f>
        <v>0.5</v>
      </c>
      <c r="L368" s="10">
        <f>INDEX(products!$A$1:$G$49,MATCH(orders!$D368,products!$A$1:$A$49,0),MATCH(orders!L$1,products!$A$1:$G$1,0))</f>
        <v>7.29</v>
      </c>
      <c r="M368" s="10">
        <f t="shared" si="15"/>
        <v>43.74</v>
      </c>
      <c r="N368" t="str">
        <f t="shared" si="16"/>
        <v>Excelsa</v>
      </c>
      <c r="O368" t="str">
        <f t="shared" si="17"/>
        <v>Dark</v>
      </c>
      <c r="P368" t="str">
        <f>_xlfn.XLOOKUP(Table1[[#This Row],[Customer ID]],customers!$A$1:$A$1001,customers!$I$1:$I$1001,,0)</f>
        <v>No</v>
      </c>
    </row>
    <row r="369" spans="1:16" x14ac:dyDescent="0.25">
      <c r="A369" s="2" t="s">
        <v>2559</v>
      </c>
      <c r="B369" s="8">
        <v>44393</v>
      </c>
      <c r="C369" s="2" t="s">
        <v>2560</v>
      </c>
      <c r="D369" t="s">
        <v>6159</v>
      </c>
      <c r="E369" s="2">
        <v>2</v>
      </c>
      <c r="F369" s="2" t="str">
        <f>_xlfn.XLOOKUP(orders!C369,customers!$A$1:$A$1001,customers!$B$1:$B$1001,,0)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9">
        <f>INDEX(products!$A$1:$G$49,MATCH(orders!$D369,products!$A$1:$A$49,0),MATCH(orders!K$1,products!$A$1:$G$1,0))</f>
        <v>0.2</v>
      </c>
      <c r="L369" s="10">
        <f>INDEX(products!$A$1:$G$49,MATCH(orders!$D369,products!$A$1:$A$49,0),MATCH(orders!L$1,products!$A$1:$G$1,0))</f>
        <v>4.3650000000000002</v>
      </c>
      <c r="M369" s="10">
        <f t="shared" si="15"/>
        <v>8.73</v>
      </c>
      <c r="N369" t="str">
        <f t="shared" si="16"/>
        <v>Liberica</v>
      </c>
      <c r="O369" t="str">
        <f t="shared" si="17"/>
        <v>Medium</v>
      </c>
      <c r="P369" t="str">
        <f>_xlfn.XLOOKUP(Table1[[#This Row],[Customer ID]],customers!$A$1:$A$1001,customers!$I$1:$I$1001,,0)</f>
        <v>Yes</v>
      </c>
    </row>
    <row r="370" spans="1:16" x14ac:dyDescent="0.25">
      <c r="A370" s="2" t="s">
        <v>2563</v>
      </c>
      <c r="B370" s="8">
        <v>44692</v>
      </c>
      <c r="C370" s="2" t="s">
        <v>2564</v>
      </c>
      <c r="D370" t="s">
        <v>6166</v>
      </c>
      <c r="E370" s="2">
        <v>2</v>
      </c>
      <c r="F370" s="2" t="str">
        <f>_xlfn.XLOOKUP(orders!C370,customers!$A$1:$A$1001,customers!$B$1:$B$1001,,0)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9">
        <f>INDEX(products!$A$1:$G$49,MATCH(orders!$D370,products!$A$1:$A$49,0),MATCH(orders!K$1,products!$A$1:$G$1,0))</f>
        <v>2.5</v>
      </c>
      <c r="L370" s="10">
        <f>INDEX(products!$A$1:$G$49,MATCH(orders!$D370,products!$A$1:$A$49,0),MATCH(orders!L$1,products!$A$1:$G$1,0))</f>
        <v>31.624999999999996</v>
      </c>
      <c r="M370" s="10">
        <f t="shared" si="15"/>
        <v>63.249999999999993</v>
      </c>
      <c r="N370" t="str">
        <f t="shared" si="16"/>
        <v>Excelsa</v>
      </c>
      <c r="O370" t="str">
        <f t="shared" si="17"/>
        <v>Medium</v>
      </c>
      <c r="P370" t="str">
        <f>_xlfn.XLOOKUP(Table1[[#This Row],[Customer ID]],customers!$A$1:$A$1001,customers!$I$1:$I$1001,,0)</f>
        <v>No</v>
      </c>
    </row>
    <row r="371" spans="1:16" x14ac:dyDescent="0.25">
      <c r="A371" s="2" t="s">
        <v>2569</v>
      </c>
      <c r="B371" s="8">
        <v>43500</v>
      </c>
      <c r="C371" s="2" t="s">
        <v>2570</v>
      </c>
      <c r="D371" t="s">
        <v>6176</v>
      </c>
      <c r="E371" s="2">
        <v>1</v>
      </c>
      <c r="F371" s="2" t="str">
        <f>_xlfn.XLOOKUP(orders!C371,customers!$A$1:$A$1001,customers!$B$1:$B$1001,,0)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9">
        <f>INDEX(products!$A$1:$G$49,MATCH(orders!$D371,products!$A$1:$A$49,0),MATCH(orders!K$1,products!$A$1:$G$1,0))</f>
        <v>0.5</v>
      </c>
      <c r="L371" s="10">
        <f>INDEX(products!$A$1:$G$49,MATCH(orders!$D371,products!$A$1:$A$49,0),MATCH(orders!L$1,products!$A$1:$G$1,0))</f>
        <v>8.91</v>
      </c>
      <c r="M371" s="10">
        <f t="shared" si="15"/>
        <v>8.91</v>
      </c>
      <c r="N371" t="str">
        <f t="shared" si="16"/>
        <v>Excelsa</v>
      </c>
      <c r="O371" t="str">
        <f t="shared" si="17"/>
        <v>Light</v>
      </c>
      <c r="P371" t="str">
        <f>_xlfn.XLOOKUP(Table1[[#This Row],[Customer ID]],customers!$A$1:$A$1001,customers!$I$1:$I$1001,,0)</f>
        <v>Yes</v>
      </c>
    </row>
    <row r="372" spans="1:16" x14ac:dyDescent="0.25">
      <c r="A372" s="2" t="s">
        <v>2573</v>
      </c>
      <c r="B372" s="8">
        <v>43501</v>
      </c>
      <c r="C372" s="2" t="s">
        <v>2574</v>
      </c>
      <c r="D372" t="s">
        <v>6183</v>
      </c>
      <c r="E372" s="2">
        <v>2</v>
      </c>
      <c r="F372" s="2" t="str">
        <f>_xlfn.XLOOKUP(orders!C372,customers!$A$1:$A$1001,customers!$B$1:$B$1001,,0)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9">
        <f>INDEX(products!$A$1:$G$49,MATCH(orders!$D372,products!$A$1:$A$49,0),MATCH(orders!K$1,products!$A$1:$G$1,0))</f>
        <v>1</v>
      </c>
      <c r="L372" s="10">
        <f>INDEX(products!$A$1:$G$49,MATCH(orders!$D372,products!$A$1:$A$49,0),MATCH(orders!L$1,products!$A$1:$G$1,0))</f>
        <v>12.15</v>
      </c>
      <c r="M372" s="10">
        <f t="shared" si="15"/>
        <v>24.3</v>
      </c>
      <c r="N372" t="str">
        <f t="shared" si="16"/>
        <v>Excelsa</v>
      </c>
      <c r="O372" t="str">
        <f t="shared" si="17"/>
        <v>Dark</v>
      </c>
      <c r="P372" t="str">
        <f>_xlfn.XLOOKUP(Table1[[#This Row],[Customer ID]],customers!$A$1:$A$1001,customers!$I$1:$I$1001,,0)</f>
        <v>Yes</v>
      </c>
    </row>
    <row r="373" spans="1:16" x14ac:dyDescent="0.25">
      <c r="A373" s="2" t="s">
        <v>2579</v>
      </c>
      <c r="B373" s="8">
        <v>44705</v>
      </c>
      <c r="C373" s="2" t="s">
        <v>2580</v>
      </c>
      <c r="D373" t="s">
        <v>6180</v>
      </c>
      <c r="E373" s="2">
        <v>6</v>
      </c>
      <c r="F373" s="2" t="str">
        <f>_xlfn.XLOOKUP(orders!C373,customers!$A$1:$A$1001,customers!$B$1:$B$1001,,0)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9">
        <f>INDEX(products!$A$1:$G$49,MATCH(orders!$D373,products!$A$1:$A$49,0),MATCH(orders!K$1,products!$A$1:$G$1,0))</f>
        <v>0.5</v>
      </c>
      <c r="L373" s="10">
        <f>INDEX(products!$A$1:$G$49,MATCH(orders!$D373,products!$A$1:$A$49,0),MATCH(orders!L$1,products!$A$1:$G$1,0))</f>
        <v>7.77</v>
      </c>
      <c r="M373" s="10">
        <f t="shared" si="15"/>
        <v>46.62</v>
      </c>
      <c r="N373" t="str">
        <f t="shared" si="16"/>
        <v>Arabica</v>
      </c>
      <c r="O373" t="str">
        <f t="shared" si="17"/>
        <v>Light</v>
      </c>
      <c r="P373" t="str">
        <f>_xlfn.XLOOKUP(Table1[[#This Row],[Customer ID]],customers!$A$1:$A$1001,customers!$I$1:$I$1001,,0)</f>
        <v>Yes</v>
      </c>
    </row>
    <row r="374" spans="1:16" x14ac:dyDescent="0.25">
      <c r="A374" s="2" t="s">
        <v>2585</v>
      </c>
      <c r="B374" s="8">
        <v>44108</v>
      </c>
      <c r="C374" s="2" t="s">
        <v>2586</v>
      </c>
      <c r="D374" t="s">
        <v>6173</v>
      </c>
      <c r="E374" s="2">
        <v>6</v>
      </c>
      <c r="F374" s="2" t="str">
        <f>_xlfn.XLOOKUP(orders!C374,customers!$A$1:$A$1001,customers!$B$1:$B$1001,,0)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9">
        <f>INDEX(products!$A$1:$G$49,MATCH(orders!$D374,products!$A$1:$A$49,0),MATCH(orders!K$1,products!$A$1:$G$1,0))</f>
        <v>0.5</v>
      </c>
      <c r="L374" s="10">
        <f>INDEX(products!$A$1:$G$49,MATCH(orders!$D374,products!$A$1:$A$49,0),MATCH(orders!L$1,products!$A$1:$G$1,0))</f>
        <v>7.169999999999999</v>
      </c>
      <c r="M374" s="10">
        <f t="shared" si="15"/>
        <v>43.019999999999996</v>
      </c>
      <c r="N374" t="str">
        <f t="shared" si="16"/>
        <v>Robusta</v>
      </c>
      <c r="O374" t="str">
        <f t="shared" si="17"/>
        <v>Light</v>
      </c>
      <c r="P374" t="str">
        <f>_xlfn.XLOOKUP(Table1[[#This Row],[Customer ID]],customers!$A$1:$A$1001,customers!$I$1:$I$1001,,0)</f>
        <v>No</v>
      </c>
    </row>
    <row r="375" spans="1:16" x14ac:dyDescent="0.25">
      <c r="A375" s="2" t="s">
        <v>2591</v>
      </c>
      <c r="B375" s="8">
        <v>44742</v>
      </c>
      <c r="C375" s="2" t="s">
        <v>2592</v>
      </c>
      <c r="D375" t="s">
        <v>6158</v>
      </c>
      <c r="E375" s="2">
        <v>3</v>
      </c>
      <c r="F375" s="2" t="str">
        <f>_xlfn.XLOOKUP(orders!C375,customers!$A$1:$A$1001,customers!$B$1:$B$1001,,0)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9">
        <f>INDEX(products!$A$1:$G$49,MATCH(orders!$D375,products!$A$1:$A$49,0),MATCH(orders!K$1,products!$A$1:$G$1,0))</f>
        <v>0.5</v>
      </c>
      <c r="L375" s="10">
        <f>INDEX(products!$A$1:$G$49,MATCH(orders!$D375,products!$A$1:$A$49,0),MATCH(orders!L$1,products!$A$1:$G$1,0))</f>
        <v>5.97</v>
      </c>
      <c r="M375" s="10">
        <f t="shared" si="15"/>
        <v>17.91</v>
      </c>
      <c r="N375" t="str">
        <f t="shared" si="16"/>
        <v>Arabica</v>
      </c>
      <c r="O375" t="str">
        <f t="shared" si="17"/>
        <v>Dark</v>
      </c>
      <c r="P375" t="str">
        <f>_xlfn.XLOOKUP(Table1[[#This Row],[Customer ID]],customers!$A$1:$A$1001,customers!$I$1:$I$1001,,0)</f>
        <v>Yes</v>
      </c>
    </row>
    <row r="376" spans="1:16" x14ac:dyDescent="0.25">
      <c r="A376" s="2" t="s">
        <v>2597</v>
      </c>
      <c r="B376" s="8">
        <v>44125</v>
      </c>
      <c r="C376" s="2" t="s">
        <v>2598</v>
      </c>
      <c r="D376" t="s">
        <v>6161</v>
      </c>
      <c r="E376" s="2">
        <v>4</v>
      </c>
      <c r="F376" s="2" t="str">
        <f>_xlfn.XLOOKUP(orders!C376,customers!$A$1:$A$1001,customers!$B$1:$B$1001,,0)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9">
        <f>INDEX(products!$A$1:$G$49,MATCH(orders!$D376,products!$A$1:$A$49,0),MATCH(orders!K$1,products!$A$1:$G$1,0))</f>
        <v>0.5</v>
      </c>
      <c r="L376" s="10">
        <f>INDEX(products!$A$1:$G$49,MATCH(orders!$D376,products!$A$1:$A$49,0),MATCH(orders!L$1,products!$A$1:$G$1,0))</f>
        <v>9.51</v>
      </c>
      <c r="M376" s="10">
        <f t="shared" si="15"/>
        <v>38.04</v>
      </c>
      <c r="N376" t="str">
        <f t="shared" si="16"/>
        <v>Liberica</v>
      </c>
      <c r="O376" t="str">
        <f t="shared" si="17"/>
        <v>Light</v>
      </c>
      <c r="P376" t="str">
        <f>_xlfn.XLOOKUP(Table1[[#This Row],[Customer ID]],customers!$A$1:$A$1001,customers!$I$1:$I$1001,,0)</f>
        <v>Yes</v>
      </c>
    </row>
    <row r="377" spans="1:16" x14ac:dyDescent="0.25">
      <c r="A377" s="2" t="s">
        <v>2603</v>
      </c>
      <c r="B377" s="8">
        <v>44120</v>
      </c>
      <c r="C377" s="2" t="s">
        <v>2604</v>
      </c>
      <c r="D377" t="s">
        <v>6152</v>
      </c>
      <c r="E377" s="2">
        <v>2</v>
      </c>
      <c r="F377" s="2" t="str">
        <f>_xlfn.XLOOKUP(orders!C377,customers!$A$1:$A$1001,customers!$B$1:$B$1001,,0)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9">
        <f>INDEX(products!$A$1:$G$49,MATCH(orders!$D377,products!$A$1:$A$49,0),MATCH(orders!K$1,products!$A$1:$G$1,0))</f>
        <v>0.2</v>
      </c>
      <c r="L377" s="10">
        <f>INDEX(products!$A$1:$G$49,MATCH(orders!$D377,products!$A$1:$A$49,0),MATCH(orders!L$1,products!$A$1:$G$1,0))</f>
        <v>3.375</v>
      </c>
      <c r="M377" s="10">
        <f t="shared" si="15"/>
        <v>6.75</v>
      </c>
      <c r="N377" t="str">
        <f t="shared" si="16"/>
        <v>Arabica</v>
      </c>
      <c r="O377" t="str">
        <f t="shared" si="17"/>
        <v>Medium</v>
      </c>
      <c r="P377" t="str">
        <f>_xlfn.XLOOKUP(Table1[[#This Row],[Customer ID]],customers!$A$1:$A$1001,customers!$I$1:$I$1001,,0)</f>
        <v>Yes</v>
      </c>
    </row>
    <row r="378" spans="1:16" x14ac:dyDescent="0.25">
      <c r="A378" s="2" t="s">
        <v>2609</v>
      </c>
      <c r="B378" s="8">
        <v>44097</v>
      </c>
      <c r="C378" s="2" t="s">
        <v>2610</v>
      </c>
      <c r="D378" t="s">
        <v>6146</v>
      </c>
      <c r="E378" s="2">
        <v>1</v>
      </c>
      <c r="F378" s="2" t="str">
        <f>_xlfn.XLOOKUP(orders!C378,customers!$A$1:$A$1001,customers!$B$1:$B$1001,,0)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9">
        <f>INDEX(products!$A$1:$G$49,MATCH(orders!$D378,products!$A$1:$A$49,0),MATCH(orders!K$1,products!$A$1:$G$1,0))</f>
        <v>0.5</v>
      </c>
      <c r="L378" s="10">
        <f>INDEX(products!$A$1:$G$49,MATCH(orders!$D378,products!$A$1:$A$49,0),MATCH(orders!L$1,products!$A$1:$G$1,0))</f>
        <v>5.97</v>
      </c>
      <c r="M378" s="10">
        <f t="shared" si="15"/>
        <v>5.97</v>
      </c>
      <c r="N378" t="str">
        <f t="shared" si="16"/>
        <v>Robusta</v>
      </c>
      <c r="O378" t="str">
        <f t="shared" si="17"/>
        <v>Medium</v>
      </c>
      <c r="P378" t="str">
        <f>_xlfn.XLOOKUP(Table1[[#This Row],[Customer ID]],customers!$A$1:$A$1001,customers!$I$1:$I$1001,,0)</f>
        <v>Yes</v>
      </c>
    </row>
    <row r="379" spans="1:16" x14ac:dyDescent="0.25">
      <c r="A379" s="2" t="s">
        <v>2615</v>
      </c>
      <c r="B379" s="8">
        <v>43532</v>
      </c>
      <c r="C379" s="2" t="s">
        <v>2616</v>
      </c>
      <c r="D379" t="s">
        <v>6163</v>
      </c>
      <c r="E379" s="2">
        <v>3</v>
      </c>
      <c r="F379" s="2" t="str">
        <f>_xlfn.XLOOKUP(orders!C379,customers!$A$1:$A$1001,customers!$B$1:$B$1001,,0)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9">
        <f>INDEX(products!$A$1:$G$49,MATCH(orders!$D379,products!$A$1:$A$49,0),MATCH(orders!K$1,products!$A$1:$G$1,0))</f>
        <v>0.2</v>
      </c>
      <c r="L379" s="10">
        <f>INDEX(products!$A$1:$G$49,MATCH(orders!$D379,products!$A$1:$A$49,0),MATCH(orders!L$1,products!$A$1:$G$1,0))</f>
        <v>2.6849999999999996</v>
      </c>
      <c r="M379" s="10">
        <f t="shared" si="15"/>
        <v>8.0549999999999997</v>
      </c>
      <c r="N379" t="str">
        <f t="shared" si="16"/>
        <v>Robusta</v>
      </c>
      <c r="O379" t="str">
        <f t="shared" si="17"/>
        <v>Dark</v>
      </c>
      <c r="P379" t="str">
        <f>_xlfn.XLOOKUP(Table1[[#This Row],[Customer ID]],customers!$A$1:$A$1001,customers!$I$1:$I$1001,,0)</f>
        <v>No</v>
      </c>
    </row>
    <row r="380" spans="1:16" x14ac:dyDescent="0.25">
      <c r="A380" s="2" t="s">
        <v>2621</v>
      </c>
      <c r="B380" s="8">
        <v>44377</v>
      </c>
      <c r="C380" s="2" t="s">
        <v>2622</v>
      </c>
      <c r="D380" t="s">
        <v>6180</v>
      </c>
      <c r="E380" s="2">
        <v>3</v>
      </c>
      <c r="F380" s="2" t="str">
        <f>_xlfn.XLOOKUP(orders!C380,customers!$A$1:$A$1001,customers!$B$1:$B$1001,,0)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9">
        <f>INDEX(products!$A$1:$G$49,MATCH(orders!$D380,products!$A$1:$A$49,0),MATCH(orders!K$1,products!$A$1:$G$1,0))</f>
        <v>0.5</v>
      </c>
      <c r="L380" s="10">
        <f>INDEX(products!$A$1:$G$49,MATCH(orders!$D380,products!$A$1:$A$49,0),MATCH(orders!L$1,products!$A$1:$G$1,0))</f>
        <v>7.77</v>
      </c>
      <c r="M380" s="10">
        <f t="shared" si="15"/>
        <v>23.31</v>
      </c>
      <c r="N380" t="str">
        <f t="shared" si="16"/>
        <v>Arabica</v>
      </c>
      <c r="O380" t="str">
        <f t="shared" si="17"/>
        <v>Light</v>
      </c>
      <c r="P380" t="str">
        <f>_xlfn.XLOOKUP(Table1[[#This Row],[Customer ID]],customers!$A$1:$A$1001,customers!$I$1:$I$1001,,0)</f>
        <v>Yes</v>
      </c>
    </row>
    <row r="381" spans="1:16" x14ac:dyDescent="0.25">
      <c r="A381" s="2" t="s">
        <v>2627</v>
      </c>
      <c r="B381" s="8">
        <v>43690</v>
      </c>
      <c r="C381" s="2" t="s">
        <v>2628</v>
      </c>
      <c r="D381" t="s">
        <v>6173</v>
      </c>
      <c r="E381" s="2">
        <v>6</v>
      </c>
      <c r="F381" s="2" t="str">
        <f>_xlfn.XLOOKUP(orders!C381,customers!$A$1:$A$1001,customers!$B$1:$B$1001,,0)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9">
        <f>INDEX(products!$A$1:$G$49,MATCH(orders!$D381,products!$A$1:$A$49,0),MATCH(orders!K$1,products!$A$1:$G$1,0))</f>
        <v>0.5</v>
      </c>
      <c r="L381" s="10">
        <f>INDEX(products!$A$1:$G$49,MATCH(orders!$D381,products!$A$1:$A$49,0),MATCH(orders!L$1,products!$A$1:$G$1,0))</f>
        <v>7.169999999999999</v>
      </c>
      <c r="M381" s="10">
        <f t="shared" si="15"/>
        <v>43.019999999999996</v>
      </c>
      <c r="N381" t="str">
        <f t="shared" si="16"/>
        <v>Robusta</v>
      </c>
      <c r="O381" t="str">
        <f t="shared" si="17"/>
        <v>Light</v>
      </c>
      <c r="P381" t="str">
        <f>_xlfn.XLOOKUP(Table1[[#This Row],[Customer ID]],customers!$A$1:$A$1001,customers!$I$1:$I$1001,,0)</f>
        <v>Yes</v>
      </c>
    </row>
    <row r="382" spans="1:16" x14ac:dyDescent="0.25">
      <c r="A382" s="2" t="s">
        <v>2632</v>
      </c>
      <c r="B382" s="8">
        <v>44249</v>
      </c>
      <c r="C382" s="2" t="s">
        <v>2331</v>
      </c>
      <c r="D382" t="s">
        <v>6169</v>
      </c>
      <c r="E382" s="2">
        <v>3</v>
      </c>
      <c r="F382" s="2" t="str">
        <f>_xlfn.XLOOKUP(orders!C382,customers!$A$1:$A$1001,customers!$B$1:$B$1001,,0)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9">
        <f>INDEX(products!$A$1:$G$49,MATCH(orders!$D382,products!$A$1:$A$49,0),MATCH(orders!K$1,products!$A$1:$G$1,0))</f>
        <v>0.5</v>
      </c>
      <c r="L382" s="10">
        <f>INDEX(products!$A$1:$G$49,MATCH(orders!$D382,products!$A$1:$A$49,0),MATCH(orders!L$1,products!$A$1:$G$1,0))</f>
        <v>7.77</v>
      </c>
      <c r="M382" s="10">
        <f t="shared" si="15"/>
        <v>23.31</v>
      </c>
      <c r="N382" t="str">
        <f t="shared" si="16"/>
        <v>Liberica</v>
      </c>
      <c r="O382" t="str">
        <f t="shared" si="17"/>
        <v>Dark</v>
      </c>
      <c r="P382" t="str">
        <f>_xlfn.XLOOKUP(Table1[[#This Row],[Customer ID]],customers!$A$1:$A$1001,customers!$I$1:$I$1001,,0)</f>
        <v>No</v>
      </c>
    </row>
    <row r="383" spans="1:16" x14ac:dyDescent="0.25">
      <c r="A383" s="2" t="s">
        <v>2638</v>
      </c>
      <c r="B383" s="8">
        <v>44646</v>
      </c>
      <c r="C383" s="2" t="s">
        <v>2639</v>
      </c>
      <c r="D383" t="s">
        <v>6154</v>
      </c>
      <c r="E383" s="2">
        <v>5</v>
      </c>
      <c r="F383" s="2" t="str">
        <f>_xlfn.XLOOKUP(orders!C383,customers!$A$1:$A$1001,customers!$B$1:$B$1001,,0)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9">
        <f>INDEX(products!$A$1:$G$49,MATCH(orders!$D383,products!$A$1:$A$49,0),MATCH(orders!K$1,products!$A$1:$G$1,0))</f>
        <v>0.2</v>
      </c>
      <c r="L383" s="10">
        <f>INDEX(products!$A$1:$G$49,MATCH(orders!$D383,products!$A$1:$A$49,0),MATCH(orders!L$1,products!$A$1:$G$1,0))</f>
        <v>2.9849999999999999</v>
      </c>
      <c r="M383" s="10">
        <f t="shared" si="15"/>
        <v>14.924999999999999</v>
      </c>
      <c r="N383" t="str">
        <f t="shared" si="16"/>
        <v>Arabica</v>
      </c>
      <c r="O383" t="str">
        <f t="shared" si="17"/>
        <v>Dark</v>
      </c>
      <c r="P383" t="str">
        <f>_xlfn.XLOOKUP(Table1[[#This Row],[Customer ID]],customers!$A$1:$A$1001,customers!$I$1:$I$1001,,0)</f>
        <v>Yes</v>
      </c>
    </row>
    <row r="384" spans="1:16" x14ac:dyDescent="0.25">
      <c r="A384" s="2" t="s">
        <v>2644</v>
      </c>
      <c r="B384" s="8">
        <v>43840</v>
      </c>
      <c r="C384" s="2" t="s">
        <v>2645</v>
      </c>
      <c r="D384" t="s">
        <v>6144</v>
      </c>
      <c r="E384" s="2">
        <v>3</v>
      </c>
      <c r="F384" s="2" t="str">
        <f>_xlfn.XLOOKUP(orders!C384,customers!$A$1:$A$1001,customers!$B$1:$B$1001,,0)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9">
        <f>INDEX(products!$A$1:$G$49,MATCH(orders!$D384,products!$A$1:$A$49,0),MATCH(orders!K$1,products!$A$1:$G$1,0))</f>
        <v>0.5</v>
      </c>
      <c r="L384" s="10">
        <f>INDEX(products!$A$1:$G$49,MATCH(orders!$D384,products!$A$1:$A$49,0),MATCH(orders!L$1,products!$A$1:$G$1,0))</f>
        <v>7.29</v>
      </c>
      <c r="M384" s="10">
        <f t="shared" si="15"/>
        <v>21.87</v>
      </c>
      <c r="N384" t="str">
        <f t="shared" si="16"/>
        <v>Excelsa</v>
      </c>
      <c r="O384" t="str">
        <f t="shared" si="17"/>
        <v>Dark</v>
      </c>
      <c r="P384" t="str">
        <f>_xlfn.XLOOKUP(Table1[[#This Row],[Customer ID]],customers!$A$1:$A$1001,customers!$I$1:$I$1001,,0)</f>
        <v>No</v>
      </c>
    </row>
    <row r="385" spans="1:16" x14ac:dyDescent="0.25">
      <c r="A385" s="2" t="s">
        <v>2650</v>
      </c>
      <c r="B385" s="8">
        <v>43586</v>
      </c>
      <c r="C385" s="2" t="s">
        <v>2651</v>
      </c>
      <c r="D385" t="s">
        <v>6176</v>
      </c>
      <c r="E385" s="2">
        <v>6</v>
      </c>
      <c r="F385" s="2" t="str">
        <f>_xlfn.XLOOKUP(orders!C385,customers!$A$1:$A$1001,customers!$B$1:$B$1001,,0)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9">
        <f>INDEX(products!$A$1:$G$49,MATCH(orders!$D385,products!$A$1:$A$49,0),MATCH(orders!K$1,products!$A$1:$G$1,0))</f>
        <v>0.5</v>
      </c>
      <c r="L385" s="10">
        <f>INDEX(products!$A$1:$G$49,MATCH(orders!$D385,products!$A$1:$A$49,0),MATCH(orders!L$1,products!$A$1:$G$1,0))</f>
        <v>8.91</v>
      </c>
      <c r="M385" s="10">
        <f t="shared" si="15"/>
        <v>53.46</v>
      </c>
      <c r="N385" t="str">
        <f t="shared" si="16"/>
        <v>Excelsa</v>
      </c>
      <c r="O385" t="str">
        <f t="shared" si="17"/>
        <v>Light</v>
      </c>
      <c r="P385" t="str">
        <f>_xlfn.XLOOKUP(Table1[[#This Row],[Customer ID]],customers!$A$1:$A$1001,customers!$I$1:$I$1001,,0)</f>
        <v>Yes</v>
      </c>
    </row>
    <row r="386" spans="1:16" x14ac:dyDescent="0.25">
      <c r="A386" s="2" t="s">
        <v>2655</v>
      </c>
      <c r="B386" s="8">
        <v>43870</v>
      </c>
      <c r="C386" s="2" t="s">
        <v>2656</v>
      </c>
      <c r="D386" t="s">
        <v>6182</v>
      </c>
      <c r="E386" s="2">
        <v>4</v>
      </c>
      <c r="F386" s="2" t="str">
        <f>_xlfn.XLOOKUP(orders!C386,customers!$A$1:$A$1001,customers!$B$1:$B$1001,,0)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9">
        <f>INDEX(products!$A$1:$G$49,MATCH(orders!$D386,products!$A$1:$A$49,0),MATCH(orders!K$1,products!$A$1:$G$1,0))</f>
        <v>2.5</v>
      </c>
      <c r="L386" s="10">
        <f>INDEX(products!$A$1:$G$49,MATCH(orders!$D386,products!$A$1:$A$49,0),MATCH(orders!L$1,products!$A$1:$G$1,0))</f>
        <v>29.784999999999997</v>
      </c>
      <c r="M386" s="10">
        <f t="shared" si="15"/>
        <v>119.13999999999999</v>
      </c>
      <c r="N386" t="str">
        <f t="shared" si="16"/>
        <v>Arabica</v>
      </c>
      <c r="O386" t="str">
        <f t="shared" si="17"/>
        <v>Light</v>
      </c>
      <c r="P386" t="str">
        <f>_xlfn.XLOOKUP(Table1[[#This Row],[Customer ID]],customers!$A$1:$A$1001,customers!$I$1:$I$1001,,0)</f>
        <v>No</v>
      </c>
    </row>
    <row r="387" spans="1:16" x14ac:dyDescent="0.25">
      <c r="A387" s="2" t="s">
        <v>2660</v>
      </c>
      <c r="B387" s="8">
        <v>44559</v>
      </c>
      <c r="C387" s="2" t="s">
        <v>2661</v>
      </c>
      <c r="D387" t="s">
        <v>6160</v>
      </c>
      <c r="E387" s="2">
        <v>5</v>
      </c>
      <c r="F387" s="2" t="str">
        <f>_xlfn.XLOOKUP(orders!C387,customers!$A$1:$A$1001,customers!$B$1:$B$1001,,0)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9">
        <f>INDEX(products!$A$1:$G$49,MATCH(orders!$D387,products!$A$1:$A$49,0),MATCH(orders!K$1,products!$A$1:$G$1,0))</f>
        <v>0.5</v>
      </c>
      <c r="L387" s="10">
        <f>INDEX(products!$A$1:$G$49,MATCH(orders!$D387,products!$A$1:$A$49,0),MATCH(orders!L$1,products!$A$1:$G$1,0))</f>
        <v>8.73</v>
      </c>
      <c r="M387" s="10">
        <f t="shared" ref="M387:M450" si="18">L387*E387</f>
        <v>43.650000000000006</v>
      </c>
      <c r="N387" t="str">
        <f t="shared" ref="N387:N450" si="19">IF(I387="Rob", "Robusta", IF(I387="Exc","Excelsa", IF(I387="Ara","Arabica", IF(I387="Lib","Liberica",""))))</f>
        <v>Liberica</v>
      </c>
      <c r="O387" t="str">
        <f t="shared" ref="O387:O450" si="20">IF(J387="M", "Medium", IF(J387="L","Light",IF(J387="D","Dark","")))</f>
        <v>Medium</v>
      </c>
      <c r="P387" t="str">
        <f>_xlfn.XLOOKUP(Table1[[#This Row],[Customer ID]],customers!$A$1:$A$1001,customers!$I$1:$I$1001,,0)</f>
        <v>Yes</v>
      </c>
    </row>
    <row r="388" spans="1:16" x14ac:dyDescent="0.25">
      <c r="A388" s="2" t="s">
        <v>2666</v>
      </c>
      <c r="B388" s="8">
        <v>44083</v>
      </c>
      <c r="C388" s="2" t="s">
        <v>2667</v>
      </c>
      <c r="D388" t="s">
        <v>6154</v>
      </c>
      <c r="E388" s="2">
        <v>6</v>
      </c>
      <c r="F388" s="2" t="str">
        <f>_xlfn.XLOOKUP(orders!C388,customers!$A$1:$A$1001,customers!$B$1:$B$1001,,0)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9">
        <f>INDEX(products!$A$1:$G$49,MATCH(orders!$D388,products!$A$1:$A$49,0),MATCH(orders!K$1,products!$A$1:$G$1,0))</f>
        <v>0.2</v>
      </c>
      <c r="L388" s="10">
        <f>INDEX(products!$A$1:$G$49,MATCH(orders!$D388,products!$A$1:$A$49,0),MATCH(orders!L$1,products!$A$1:$G$1,0))</f>
        <v>2.9849999999999999</v>
      </c>
      <c r="M388" s="10">
        <f t="shared" si="18"/>
        <v>17.91</v>
      </c>
      <c r="N388" t="str">
        <f t="shared" si="19"/>
        <v>Arabica</v>
      </c>
      <c r="O388" t="str">
        <f t="shared" si="20"/>
        <v>Dark</v>
      </c>
      <c r="P388" t="str">
        <f>_xlfn.XLOOKUP(Table1[[#This Row],[Customer ID]],customers!$A$1:$A$1001,customers!$I$1:$I$1001,,0)</f>
        <v>Yes</v>
      </c>
    </row>
    <row r="389" spans="1:16" x14ac:dyDescent="0.25">
      <c r="A389" s="2" t="s">
        <v>2671</v>
      </c>
      <c r="B389" s="8">
        <v>44455</v>
      </c>
      <c r="C389" s="2" t="s">
        <v>2672</v>
      </c>
      <c r="D389" t="s">
        <v>6171</v>
      </c>
      <c r="E389" s="2">
        <v>5</v>
      </c>
      <c r="F389" s="2" t="str">
        <f>_xlfn.XLOOKUP(orders!C389,customers!$A$1:$A$1001,customers!$B$1:$B$1001,,0)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9">
        <f>INDEX(products!$A$1:$G$49,MATCH(orders!$D389,products!$A$1:$A$49,0),MATCH(orders!K$1,products!$A$1:$G$1,0))</f>
        <v>1</v>
      </c>
      <c r="L389" s="10">
        <f>INDEX(products!$A$1:$G$49,MATCH(orders!$D389,products!$A$1:$A$49,0),MATCH(orders!L$1,products!$A$1:$G$1,0))</f>
        <v>14.85</v>
      </c>
      <c r="M389" s="10">
        <f t="shared" si="18"/>
        <v>74.25</v>
      </c>
      <c r="N389" t="str">
        <f t="shared" si="19"/>
        <v>Excelsa</v>
      </c>
      <c r="O389" t="str">
        <f t="shared" si="20"/>
        <v>Light</v>
      </c>
      <c r="P389" t="str">
        <f>_xlfn.XLOOKUP(Table1[[#This Row],[Customer ID]],customers!$A$1:$A$1001,customers!$I$1:$I$1001,,0)</f>
        <v>Yes</v>
      </c>
    </row>
    <row r="390" spans="1:16" x14ac:dyDescent="0.25">
      <c r="A390" s="2" t="s">
        <v>2677</v>
      </c>
      <c r="B390" s="8">
        <v>44130</v>
      </c>
      <c r="C390" s="2" t="s">
        <v>2678</v>
      </c>
      <c r="D390" t="s">
        <v>6150</v>
      </c>
      <c r="E390" s="2">
        <v>3</v>
      </c>
      <c r="F390" s="2" t="str">
        <f>_xlfn.XLOOKUP(orders!C390,customers!$A$1:$A$1001,customers!$B$1:$B$1001,,0)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9">
        <f>INDEX(products!$A$1:$G$49,MATCH(orders!$D390,products!$A$1:$A$49,0),MATCH(orders!K$1,products!$A$1:$G$1,0))</f>
        <v>0.2</v>
      </c>
      <c r="L390" s="10">
        <f>INDEX(products!$A$1:$G$49,MATCH(orders!$D390,products!$A$1:$A$49,0),MATCH(orders!L$1,products!$A$1:$G$1,0))</f>
        <v>3.8849999999999998</v>
      </c>
      <c r="M390" s="10">
        <f t="shared" si="18"/>
        <v>11.654999999999999</v>
      </c>
      <c r="N390" t="str">
        <f t="shared" si="19"/>
        <v>Liberica</v>
      </c>
      <c r="O390" t="str">
        <f t="shared" si="20"/>
        <v>Dark</v>
      </c>
      <c r="P390" t="str">
        <f>_xlfn.XLOOKUP(Table1[[#This Row],[Customer ID]],customers!$A$1:$A$1001,customers!$I$1:$I$1001,,0)</f>
        <v>Yes</v>
      </c>
    </row>
    <row r="391" spans="1:16" x14ac:dyDescent="0.25">
      <c r="A391" s="2" t="s">
        <v>2683</v>
      </c>
      <c r="B391" s="8">
        <v>43536</v>
      </c>
      <c r="C391" s="2" t="s">
        <v>2684</v>
      </c>
      <c r="D391" t="s">
        <v>6169</v>
      </c>
      <c r="E391" s="2">
        <v>3</v>
      </c>
      <c r="F391" s="2" t="str">
        <f>_xlfn.XLOOKUP(orders!C391,customers!$A$1:$A$1001,customers!$B$1:$B$1001,,0)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9">
        <f>INDEX(products!$A$1:$G$49,MATCH(orders!$D391,products!$A$1:$A$49,0),MATCH(orders!K$1,products!$A$1:$G$1,0))</f>
        <v>0.5</v>
      </c>
      <c r="L391" s="10">
        <f>INDEX(products!$A$1:$G$49,MATCH(orders!$D391,products!$A$1:$A$49,0),MATCH(orders!L$1,products!$A$1:$G$1,0))</f>
        <v>7.77</v>
      </c>
      <c r="M391" s="10">
        <f t="shared" si="18"/>
        <v>23.31</v>
      </c>
      <c r="N391" t="str">
        <f t="shared" si="19"/>
        <v>Liberica</v>
      </c>
      <c r="O391" t="str">
        <f t="shared" si="20"/>
        <v>Dark</v>
      </c>
      <c r="P391" t="str">
        <f>_xlfn.XLOOKUP(Table1[[#This Row],[Customer ID]],customers!$A$1:$A$1001,customers!$I$1:$I$1001,,0)</f>
        <v>Yes</v>
      </c>
    </row>
    <row r="392" spans="1:16" x14ac:dyDescent="0.25">
      <c r="A392" s="2" t="s">
        <v>2689</v>
      </c>
      <c r="B392" s="8">
        <v>44245</v>
      </c>
      <c r="C392" s="2" t="s">
        <v>2690</v>
      </c>
      <c r="D392" t="s">
        <v>6144</v>
      </c>
      <c r="E392" s="2">
        <v>2</v>
      </c>
      <c r="F392" s="2" t="str">
        <f>_xlfn.XLOOKUP(orders!C392,customers!$A$1:$A$1001,customers!$B$1:$B$1001,,0)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9">
        <f>INDEX(products!$A$1:$G$49,MATCH(orders!$D392,products!$A$1:$A$49,0),MATCH(orders!K$1,products!$A$1:$G$1,0))</f>
        <v>0.5</v>
      </c>
      <c r="L392" s="10">
        <f>INDEX(products!$A$1:$G$49,MATCH(orders!$D392,products!$A$1:$A$49,0),MATCH(orders!L$1,products!$A$1:$G$1,0))</f>
        <v>7.29</v>
      </c>
      <c r="M392" s="10">
        <f t="shared" si="18"/>
        <v>14.58</v>
      </c>
      <c r="N392" t="str">
        <f t="shared" si="19"/>
        <v>Excelsa</v>
      </c>
      <c r="O392" t="str">
        <f t="shared" si="20"/>
        <v>Dark</v>
      </c>
      <c r="P392" t="str">
        <f>_xlfn.XLOOKUP(Table1[[#This Row],[Customer ID]],customers!$A$1:$A$1001,customers!$I$1:$I$1001,,0)</f>
        <v>Yes</v>
      </c>
    </row>
    <row r="393" spans="1:16" x14ac:dyDescent="0.25">
      <c r="A393" s="2" t="s">
        <v>2694</v>
      </c>
      <c r="B393" s="8">
        <v>44133</v>
      </c>
      <c r="C393" s="2" t="s">
        <v>2695</v>
      </c>
      <c r="D393" t="s">
        <v>6157</v>
      </c>
      <c r="E393" s="2">
        <v>2</v>
      </c>
      <c r="F393" s="2" t="str">
        <f>_xlfn.XLOOKUP(orders!C393,customers!$A$1:$A$1001,customers!$B$1:$B$1001,,0)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9">
        <f>INDEX(products!$A$1:$G$49,MATCH(orders!$D393,products!$A$1:$A$49,0),MATCH(orders!K$1,products!$A$1:$G$1,0))</f>
        <v>0.5</v>
      </c>
      <c r="L393" s="10">
        <f>INDEX(products!$A$1:$G$49,MATCH(orders!$D393,products!$A$1:$A$49,0),MATCH(orders!L$1,products!$A$1:$G$1,0))</f>
        <v>6.75</v>
      </c>
      <c r="M393" s="10">
        <f t="shared" si="18"/>
        <v>13.5</v>
      </c>
      <c r="N393" t="str">
        <f t="shared" si="19"/>
        <v>Arabica</v>
      </c>
      <c r="O393" t="str">
        <f t="shared" si="20"/>
        <v>Medium</v>
      </c>
      <c r="P393" t="str">
        <f>_xlfn.XLOOKUP(Table1[[#This Row],[Customer ID]],customers!$A$1:$A$1001,customers!$I$1:$I$1001,,0)</f>
        <v>No</v>
      </c>
    </row>
    <row r="394" spans="1:16" x14ac:dyDescent="0.25">
      <c r="A394" s="2" t="s">
        <v>2699</v>
      </c>
      <c r="B394" s="8">
        <v>44445</v>
      </c>
      <c r="C394" s="2" t="s">
        <v>2700</v>
      </c>
      <c r="D394" t="s">
        <v>6171</v>
      </c>
      <c r="E394" s="2">
        <v>6</v>
      </c>
      <c r="F394" s="2" t="str">
        <f>_xlfn.XLOOKUP(orders!C394,customers!$A$1:$A$1001,customers!$B$1:$B$1001,,0)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9">
        <f>INDEX(products!$A$1:$G$49,MATCH(orders!$D394,products!$A$1:$A$49,0),MATCH(orders!K$1,products!$A$1:$G$1,0))</f>
        <v>1</v>
      </c>
      <c r="L394" s="10">
        <f>INDEX(products!$A$1:$G$49,MATCH(orders!$D394,products!$A$1:$A$49,0),MATCH(orders!L$1,products!$A$1:$G$1,0))</f>
        <v>14.85</v>
      </c>
      <c r="M394" s="10">
        <f t="shared" si="18"/>
        <v>89.1</v>
      </c>
      <c r="N394" t="str">
        <f t="shared" si="19"/>
        <v>Excelsa</v>
      </c>
      <c r="O394" t="str">
        <f t="shared" si="20"/>
        <v>Light</v>
      </c>
      <c r="P394" t="str">
        <f>_xlfn.XLOOKUP(Table1[[#This Row],[Customer ID]],customers!$A$1:$A$1001,customers!$I$1:$I$1001,,0)</f>
        <v>No</v>
      </c>
    </row>
    <row r="395" spans="1:16" x14ac:dyDescent="0.25">
      <c r="A395" s="2" t="s">
        <v>2699</v>
      </c>
      <c r="B395" s="8">
        <v>44445</v>
      </c>
      <c r="C395" s="2" t="s">
        <v>2700</v>
      </c>
      <c r="D395" t="s">
        <v>6167</v>
      </c>
      <c r="E395" s="2">
        <v>1</v>
      </c>
      <c r="F395" s="2" t="str">
        <f>_xlfn.XLOOKUP(orders!C395,customers!$A$1:$A$1001,customers!$B$1:$B$1001,,0)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9">
        <f>INDEX(products!$A$1:$G$49,MATCH(orders!$D395,products!$A$1:$A$49,0),MATCH(orders!K$1,products!$A$1:$G$1,0))</f>
        <v>0.2</v>
      </c>
      <c r="L395" s="10">
        <f>INDEX(products!$A$1:$G$49,MATCH(orders!$D395,products!$A$1:$A$49,0),MATCH(orders!L$1,products!$A$1:$G$1,0))</f>
        <v>3.8849999999999998</v>
      </c>
      <c r="M395" s="10">
        <f t="shared" si="18"/>
        <v>3.8849999999999998</v>
      </c>
      <c r="N395" t="str">
        <f t="shared" si="19"/>
        <v>Arabica</v>
      </c>
      <c r="O395" t="str">
        <f t="shared" si="20"/>
        <v>Light</v>
      </c>
      <c r="P395" t="str">
        <f>_xlfn.XLOOKUP(Table1[[#This Row],[Customer ID]],customers!$A$1:$A$1001,customers!$I$1:$I$1001,,0)</f>
        <v>No</v>
      </c>
    </row>
    <row r="396" spans="1:16" x14ac:dyDescent="0.25">
      <c r="A396" s="2" t="s">
        <v>2710</v>
      </c>
      <c r="B396" s="8">
        <v>44083</v>
      </c>
      <c r="C396" s="2" t="s">
        <v>2711</v>
      </c>
      <c r="D396" t="s">
        <v>6142</v>
      </c>
      <c r="E396" s="2">
        <v>4</v>
      </c>
      <c r="F396" s="2" t="str">
        <f>_xlfn.XLOOKUP(orders!C396,customers!$A$1:$A$1001,customers!$B$1:$B$1001,,0)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9">
        <f>INDEX(products!$A$1:$G$49,MATCH(orders!$D396,products!$A$1:$A$49,0),MATCH(orders!K$1,products!$A$1:$G$1,0))</f>
        <v>2.5</v>
      </c>
      <c r="L396" s="10">
        <f>INDEX(products!$A$1:$G$49,MATCH(orders!$D396,products!$A$1:$A$49,0),MATCH(orders!L$1,products!$A$1:$G$1,0))</f>
        <v>27.484999999999996</v>
      </c>
      <c r="M396" s="10">
        <f t="shared" si="18"/>
        <v>109.93999999999998</v>
      </c>
      <c r="N396" t="str">
        <f t="shared" si="19"/>
        <v>Robusta</v>
      </c>
      <c r="O396" t="str">
        <f t="shared" si="20"/>
        <v>Light</v>
      </c>
      <c r="P396" t="str">
        <f>_xlfn.XLOOKUP(Table1[[#This Row],[Customer ID]],customers!$A$1:$A$1001,customers!$I$1:$I$1001,,0)</f>
        <v>No</v>
      </c>
    </row>
    <row r="397" spans="1:16" x14ac:dyDescent="0.25">
      <c r="A397" s="2" t="s">
        <v>2716</v>
      </c>
      <c r="B397" s="8">
        <v>44465</v>
      </c>
      <c r="C397" s="2" t="s">
        <v>2717</v>
      </c>
      <c r="D397" t="s">
        <v>6169</v>
      </c>
      <c r="E397" s="2">
        <v>6</v>
      </c>
      <c r="F397" s="2" t="str">
        <f>_xlfn.XLOOKUP(orders!C397,customers!$A$1:$A$1001,customers!$B$1:$B$1001,,0)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9">
        <f>INDEX(products!$A$1:$G$49,MATCH(orders!$D397,products!$A$1:$A$49,0),MATCH(orders!K$1,products!$A$1:$G$1,0))</f>
        <v>0.5</v>
      </c>
      <c r="L397" s="10">
        <f>INDEX(products!$A$1:$G$49,MATCH(orders!$D397,products!$A$1:$A$49,0),MATCH(orders!L$1,products!$A$1:$G$1,0))</f>
        <v>7.77</v>
      </c>
      <c r="M397" s="10">
        <f t="shared" si="18"/>
        <v>46.62</v>
      </c>
      <c r="N397" t="str">
        <f t="shared" si="19"/>
        <v>Liberica</v>
      </c>
      <c r="O397" t="str">
        <f t="shared" si="20"/>
        <v>Dark</v>
      </c>
      <c r="P397" t="str">
        <f>_xlfn.XLOOKUP(Table1[[#This Row],[Customer ID]],customers!$A$1:$A$1001,customers!$I$1:$I$1001,,0)</f>
        <v>Yes</v>
      </c>
    </row>
    <row r="398" spans="1:16" x14ac:dyDescent="0.25">
      <c r="A398" s="2" t="s">
        <v>2721</v>
      </c>
      <c r="B398" s="8">
        <v>44140</v>
      </c>
      <c r="C398" s="2" t="s">
        <v>2722</v>
      </c>
      <c r="D398" t="s">
        <v>6180</v>
      </c>
      <c r="E398" s="2">
        <v>5</v>
      </c>
      <c r="F398" s="2" t="str">
        <f>_xlfn.XLOOKUP(orders!C398,customers!$A$1:$A$1001,customers!$B$1:$B$1001,,0)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9">
        <f>INDEX(products!$A$1:$G$49,MATCH(orders!$D398,products!$A$1:$A$49,0),MATCH(orders!K$1,products!$A$1:$G$1,0))</f>
        <v>0.5</v>
      </c>
      <c r="L398" s="10">
        <f>INDEX(products!$A$1:$G$49,MATCH(orders!$D398,products!$A$1:$A$49,0),MATCH(orders!L$1,products!$A$1:$G$1,0))</f>
        <v>7.77</v>
      </c>
      <c r="M398" s="10">
        <f t="shared" si="18"/>
        <v>38.849999999999994</v>
      </c>
      <c r="N398" t="str">
        <f t="shared" si="19"/>
        <v>Arabica</v>
      </c>
      <c r="O398" t="str">
        <f t="shared" si="20"/>
        <v>Light</v>
      </c>
      <c r="P398" t="str">
        <f>_xlfn.XLOOKUP(Table1[[#This Row],[Customer ID]],customers!$A$1:$A$1001,customers!$I$1:$I$1001,,0)</f>
        <v>No</v>
      </c>
    </row>
    <row r="399" spans="1:16" x14ac:dyDescent="0.25">
      <c r="A399" s="2" t="s">
        <v>2727</v>
      </c>
      <c r="B399" s="8">
        <v>43720</v>
      </c>
      <c r="C399" s="2" t="s">
        <v>2728</v>
      </c>
      <c r="D399" t="s">
        <v>6169</v>
      </c>
      <c r="E399" s="2">
        <v>4</v>
      </c>
      <c r="F399" s="2" t="str">
        <f>_xlfn.XLOOKUP(orders!C399,customers!$A$1:$A$1001,customers!$B$1:$B$1001,,0)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9">
        <f>INDEX(products!$A$1:$G$49,MATCH(orders!$D399,products!$A$1:$A$49,0),MATCH(orders!K$1,products!$A$1:$G$1,0))</f>
        <v>0.5</v>
      </c>
      <c r="L399" s="10">
        <f>INDEX(products!$A$1:$G$49,MATCH(orders!$D399,products!$A$1:$A$49,0),MATCH(orders!L$1,products!$A$1:$G$1,0))</f>
        <v>7.77</v>
      </c>
      <c r="M399" s="10">
        <f t="shared" si="18"/>
        <v>31.08</v>
      </c>
      <c r="N399" t="str">
        <f t="shared" si="19"/>
        <v>Liberica</v>
      </c>
      <c r="O399" t="str">
        <f t="shared" si="20"/>
        <v>Dark</v>
      </c>
      <c r="P399" t="str">
        <f>_xlfn.XLOOKUP(Table1[[#This Row],[Customer ID]],customers!$A$1:$A$1001,customers!$I$1:$I$1001,,0)</f>
        <v>Yes</v>
      </c>
    </row>
    <row r="400" spans="1:16" x14ac:dyDescent="0.25">
      <c r="A400" s="2" t="s">
        <v>2733</v>
      </c>
      <c r="B400" s="8">
        <v>43677</v>
      </c>
      <c r="C400" s="2" t="s">
        <v>2734</v>
      </c>
      <c r="D400" t="s">
        <v>6154</v>
      </c>
      <c r="E400" s="2">
        <v>6</v>
      </c>
      <c r="F400" s="2" t="str">
        <f>_xlfn.XLOOKUP(orders!C400,customers!$A$1:$A$1001,customers!$B$1:$B$1001,,0)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9">
        <f>INDEX(products!$A$1:$G$49,MATCH(orders!$D400,products!$A$1:$A$49,0),MATCH(orders!K$1,products!$A$1:$G$1,0))</f>
        <v>0.2</v>
      </c>
      <c r="L400" s="10">
        <f>INDEX(products!$A$1:$G$49,MATCH(orders!$D400,products!$A$1:$A$49,0),MATCH(orders!L$1,products!$A$1:$G$1,0))</f>
        <v>2.9849999999999999</v>
      </c>
      <c r="M400" s="10">
        <f t="shared" si="18"/>
        <v>17.91</v>
      </c>
      <c r="N400" t="str">
        <f t="shared" si="19"/>
        <v>Arabica</v>
      </c>
      <c r="O400" t="str">
        <f t="shared" si="20"/>
        <v>Dark</v>
      </c>
      <c r="P400" t="str">
        <f>_xlfn.XLOOKUP(Table1[[#This Row],[Customer ID]],customers!$A$1:$A$1001,customers!$I$1:$I$1001,,0)</f>
        <v>Yes</v>
      </c>
    </row>
    <row r="401" spans="1:16" x14ac:dyDescent="0.25">
      <c r="A401" s="2" t="s">
        <v>2739</v>
      </c>
      <c r="B401" s="8">
        <v>43539</v>
      </c>
      <c r="C401" s="2" t="s">
        <v>2740</v>
      </c>
      <c r="D401" t="s">
        <v>6185</v>
      </c>
      <c r="E401" s="2">
        <v>6</v>
      </c>
      <c r="F401" s="2" t="str">
        <f>_xlfn.XLOOKUP(orders!C401,customers!$A$1:$A$1001,customers!$B$1:$B$1001,,0)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9">
        <f>INDEX(products!$A$1:$G$49,MATCH(orders!$D401,products!$A$1:$A$49,0),MATCH(orders!K$1,products!$A$1:$G$1,0))</f>
        <v>2.5</v>
      </c>
      <c r="L401" s="10">
        <f>INDEX(products!$A$1:$G$49,MATCH(orders!$D401,products!$A$1:$A$49,0),MATCH(orders!L$1,products!$A$1:$G$1,0))</f>
        <v>27.945</v>
      </c>
      <c r="M401" s="10">
        <f t="shared" si="18"/>
        <v>167.67000000000002</v>
      </c>
      <c r="N401" t="str">
        <f t="shared" si="19"/>
        <v>Excelsa</v>
      </c>
      <c r="O401" t="str">
        <f t="shared" si="20"/>
        <v>Dark</v>
      </c>
      <c r="P401" t="str">
        <f>_xlfn.XLOOKUP(Table1[[#This Row],[Customer ID]],customers!$A$1:$A$1001,customers!$I$1:$I$1001,,0)</f>
        <v>No</v>
      </c>
    </row>
    <row r="402" spans="1:16" x14ac:dyDescent="0.25">
      <c r="A402" s="2" t="s">
        <v>2745</v>
      </c>
      <c r="B402" s="8">
        <v>44332</v>
      </c>
      <c r="C402" s="2" t="s">
        <v>2746</v>
      </c>
      <c r="D402" t="s">
        <v>6170</v>
      </c>
      <c r="E402" s="2">
        <v>4</v>
      </c>
      <c r="F402" s="2" t="str">
        <f>_xlfn.XLOOKUP(orders!C402,customers!$A$1:$A$1001,customers!$B$1:$B$1001,,0)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9">
        <f>INDEX(products!$A$1:$G$49,MATCH(orders!$D402,products!$A$1:$A$49,0),MATCH(orders!K$1,products!$A$1:$G$1,0))</f>
        <v>1</v>
      </c>
      <c r="L402" s="10">
        <f>INDEX(products!$A$1:$G$49,MATCH(orders!$D402,products!$A$1:$A$49,0),MATCH(orders!L$1,products!$A$1:$G$1,0))</f>
        <v>15.85</v>
      </c>
      <c r="M402" s="10">
        <f t="shared" si="18"/>
        <v>63.4</v>
      </c>
      <c r="N402" t="str">
        <f t="shared" si="19"/>
        <v>Liberica</v>
      </c>
      <c r="O402" t="str">
        <f t="shared" si="20"/>
        <v>Light</v>
      </c>
      <c r="P402" t="str">
        <f>_xlfn.XLOOKUP(Table1[[#This Row],[Customer ID]],customers!$A$1:$A$1001,customers!$I$1:$I$1001,,0)</f>
        <v>No</v>
      </c>
    </row>
    <row r="403" spans="1:16" x14ac:dyDescent="0.25">
      <c r="A403" s="2" t="s">
        <v>2751</v>
      </c>
      <c r="B403" s="8">
        <v>43591</v>
      </c>
      <c r="C403" s="2" t="s">
        <v>2752</v>
      </c>
      <c r="D403" t="s">
        <v>6159</v>
      </c>
      <c r="E403" s="2">
        <v>2</v>
      </c>
      <c r="F403" s="2" t="str">
        <f>_xlfn.XLOOKUP(orders!C403,customers!$A$1:$A$1001,customers!$B$1:$B$1001,,0)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9">
        <f>INDEX(products!$A$1:$G$49,MATCH(orders!$D403,products!$A$1:$A$49,0),MATCH(orders!K$1,products!$A$1:$G$1,0))</f>
        <v>0.2</v>
      </c>
      <c r="L403" s="10">
        <f>INDEX(products!$A$1:$G$49,MATCH(orders!$D403,products!$A$1:$A$49,0),MATCH(orders!L$1,products!$A$1:$G$1,0))</f>
        <v>4.3650000000000002</v>
      </c>
      <c r="M403" s="10">
        <f t="shared" si="18"/>
        <v>8.73</v>
      </c>
      <c r="N403" t="str">
        <f t="shared" si="19"/>
        <v>Liberica</v>
      </c>
      <c r="O403" t="str">
        <f t="shared" si="20"/>
        <v>Medium</v>
      </c>
      <c r="P403" t="str">
        <f>_xlfn.XLOOKUP(Table1[[#This Row],[Customer ID]],customers!$A$1:$A$1001,customers!$I$1:$I$1001,,0)</f>
        <v>Yes</v>
      </c>
    </row>
    <row r="404" spans="1:16" x14ac:dyDescent="0.25">
      <c r="A404" s="2" t="s">
        <v>2757</v>
      </c>
      <c r="B404" s="8">
        <v>43502</v>
      </c>
      <c r="C404" s="2" t="s">
        <v>2758</v>
      </c>
      <c r="D404" t="s">
        <v>6177</v>
      </c>
      <c r="E404" s="2">
        <v>3</v>
      </c>
      <c r="F404" s="2" t="str">
        <f>_xlfn.XLOOKUP(orders!C404,customers!$A$1:$A$1001,customers!$B$1:$B$1001,,0)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9">
        <f>INDEX(products!$A$1:$G$49,MATCH(orders!$D404,products!$A$1:$A$49,0),MATCH(orders!K$1,products!$A$1:$G$1,0))</f>
        <v>1</v>
      </c>
      <c r="L404" s="10">
        <f>INDEX(products!$A$1:$G$49,MATCH(orders!$D404,products!$A$1:$A$49,0),MATCH(orders!L$1,products!$A$1:$G$1,0))</f>
        <v>8.9499999999999993</v>
      </c>
      <c r="M404" s="10">
        <f t="shared" si="18"/>
        <v>26.849999999999998</v>
      </c>
      <c r="N404" t="str">
        <f t="shared" si="19"/>
        <v>Robusta</v>
      </c>
      <c r="O404" t="str">
        <f t="shared" si="20"/>
        <v>Dark</v>
      </c>
      <c r="P404" t="str">
        <f>_xlfn.XLOOKUP(Table1[[#This Row],[Customer ID]],customers!$A$1:$A$1001,customers!$I$1:$I$1001,,0)</f>
        <v>Yes</v>
      </c>
    </row>
    <row r="405" spans="1:16" x14ac:dyDescent="0.25">
      <c r="A405" s="2" t="s">
        <v>2763</v>
      </c>
      <c r="B405" s="8">
        <v>44295</v>
      </c>
      <c r="C405" s="2" t="s">
        <v>2764</v>
      </c>
      <c r="D405" t="s">
        <v>6145</v>
      </c>
      <c r="E405" s="2">
        <v>2</v>
      </c>
      <c r="F405" s="2" t="str">
        <f>_xlfn.XLOOKUP(orders!C405,customers!$A$1:$A$1001,customers!$B$1:$B$1001,,0)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9">
        <f>INDEX(products!$A$1:$G$49,MATCH(orders!$D405,products!$A$1:$A$49,0),MATCH(orders!K$1,products!$A$1:$G$1,0))</f>
        <v>0.2</v>
      </c>
      <c r="L405" s="10">
        <f>INDEX(products!$A$1:$G$49,MATCH(orders!$D405,products!$A$1:$A$49,0),MATCH(orders!L$1,products!$A$1:$G$1,0))</f>
        <v>4.7549999999999999</v>
      </c>
      <c r="M405" s="10">
        <f t="shared" si="18"/>
        <v>9.51</v>
      </c>
      <c r="N405" t="str">
        <f t="shared" si="19"/>
        <v>Liberica</v>
      </c>
      <c r="O405" t="str">
        <f t="shared" si="20"/>
        <v>Light</v>
      </c>
      <c r="P405" t="str">
        <f>_xlfn.XLOOKUP(Table1[[#This Row],[Customer ID]],customers!$A$1:$A$1001,customers!$I$1:$I$1001,,0)</f>
        <v>No</v>
      </c>
    </row>
    <row r="406" spans="1:16" x14ac:dyDescent="0.25">
      <c r="A406" s="2" t="s">
        <v>2769</v>
      </c>
      <c r="B406" s="8">
        <v>43971</v>
      </c>
      <c r="C406" s="2" t="s">
        <v>2770</v>
      </c>
      <c r="D406" t="s">
        <v>6147</v>
      </c>
      <c r="E406" s="2">
        <v>4</v>
      </c>
      <c r="F406" s="2" t="str">
        <f>_xlfn.XLOOKUP(orders!C406,customers!$A$1:$A$1001,customers!$B$1:$B$1001,,0)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9">
        <f>INDEX(products!$A$1:$G$49,MATCH(orders!$D406,products!$A$1:$A$49,0),MATCH(orders!K$1,products!$A$1:$G$1,0))</f>
        <v>1</v>
      </c>
      <c r="L406" s="10">
        <f>INDEX(products!$A$1:$G$49,MATCH(orders!$D406,products!$A$1:$A$49,0),MATCH(orders!L$1,products!$A$1:$G$1,0))</f>
        <v>9.9499999999999993</v>
      </c>
      <c r="M406" s="10">
        <f t="shared" si="18"/>
        <v>39.799999999999997</v>
      </c>
      <c r="N406" t="str">
        <f t="shared" si="19"/>
        <v>Arabica</v>
      </c>
      <c r="O406" t="str">
        <f t="shared" si="20"/>
        <v>Dark</v>
      </c>
      <c r="P406" t="str">
        <f>_xlfn.XLOOKUP(Table1[[#This Row],[Customer ID]],customers!$A$1:$A$1001,customers!$I$1:$I$1001,,0)</f>
        <v>No</v>
      </c>
    </row>
    <row r="407" spans="1:16" x14ac:dyDescent="0.25">
      <c r="A407" s="2" t="s">
        <v>2775</v>
      </c>
      <c r="B407" s="8">
        <v>44167</v>
      </c>
      <c r="C407" s="2" t="s">
        <v>2776</v>
      </c>
      <c r="D407" t="s">
        <v>6139</v>
      </c>
      <c r="E407" s="2">
        <v>3</v>
      </c>
      <c r="F407" s="2" t="str">
        <f>_xlfn.XLOOKUP(orders!C407,customers!$A$1:$A$1001,customers!$B$1:$B$1001,,0)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9">
        <f>INDEX(products!$A$1:$G$49,MATCH(orders!$D407,products!$A$1:$A$49,0),MATCH(orders!K$1,products!$A$1:$G$1,0))</f>
        <v>0.5</v>
      </c>
      <c r="L407" s="10">
        <f>INDEX(products!$A$1:$G$49,MATCH(orders!$D407,products!$A$1:$A$49,0),MATCH(orders!L$1,products!$A$1:$G$1,0))</f>
        <v>8.25</v>
      </c>
      <c r="M407" s="10">
        <f t="shared" si="18"/>
        <v>24.75</v>
      </c>
      <c r="N407" t="str">
        <f t="shared" si="19"/>
        <v>Excelsa</v>
      </c>
      <c r="O407" t="str">
        <f t="shared" si="20"/>
        <v>Medium</v>
      </c>
      <c r="P407" t="str">
        <f>_xlfn.XLOOKUP(Table1[[#This Row],[Customer ID]],customers!$A$1:$A$1001,customers!$I$1:$I$1001,,0)</f>
        <v>Yes</v>
      </c>
    </row>
    <row r="408" spans="1:16" x14ac:dyDescent="0.25">
      <c r="A408" s="2" t="s">
        <v>2781</v>
      </c>
      <c r="B408" s="8">
        <v>44416</v>
      </c>
      <c r="C408" s="2" t="s">
        <v>2782</v>
      </c>
      <c r="D408" t="s">
        <v>6141</v>
      </c>
      <c r="E408" s="2">
        <v>5</v>
      </c>
      <c r="F408" s="2" t="str">
        <f>_xlfn.XLOOKUP(orders!C408,customers!$A$1:$A$1001,customers!$B$1:$B$1001,,0)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9">
        <f>INDEX(products!$A$1:$G$49,MATCH(orders!$D408,products!$A$1:$A$49,0),MATCH(orders!K$1,products!$A$1:$G$1,0))</f>
        <v>1</v>
      </c>
      <c r="L408" s="10">
        <f>INDEX(products!$A$1:$G$49,MATCH(orders!$D408,products!$A$1:$A$49,0),MATCH(orders!L$1,products!$A$1:$G$1,0))</f>
        <v>13.75</v>
      </c>
      <c r="M408" s="10">
        <f t="shared" si="18"/>
        <v>68.75</v>
      </c>
      <c r="N408" t="str">
        <f t="shared" si="19"/>
        <v>Excelsa</v>
      </c>
      <c r="O408" t="str">
        <f t="shared" si="20"/>
        <v>Medium</v>
      </c>
      <c r="P408" t="str">
        <f>_xlfn.XLOOKUP(Table1[[#This Row],[Customer ID]],customers!$A$1:$A$1001,customers!$I$1:$I$1001,,0)</f>
        <v>Yes</v>
      </c>
    </row>
    <row r="409" spans="1:16" x14ac:dyDescent="0.25">
      <c r="A409" s="2" t="s">
        <v>2787</v>
      </c>
      <c r="B409" s="8">
        <v>44595</v>
      </c>
      <c r="C409" s="2" t="s">
        <v>2788</v>
      </c>
      <c r="D409" t="s">
        <v>6139</v>
      </c>
      <c r="E409" s="2">
        <v>6</v>
      </c>
      <c r="F409" s="2" t="str">
        <f>_xlfn.XLOOKUP(orders!C409,customers!$A$1:$A$1001,customers!$B$1:$B$1001,,0)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9">
        <f>INDEX(products!$A$1:$G$49,MATCH(orders!$D409,products!$A$1:$A$49,0),MATCH(orders!K$1,products!$A$1:$G$1,0))</f>
        <v>0.5</v>
      </c>
      <c r="L409" s="10">
        <f>INDEX(products!$A$1:$G$49,MATCH(orders!$D409,products!$A$1:$A$49,0),MATCH(orders!L$1,products!$A$1:$G$1,0))</f>
        <v>8.25</v>
      </c>
      <c r="M409" s="10">
        <f t="shared" si="18"/>
        <v>49.5</v>
      </c>
      <c r="N409" t="str">
        <f t="shared" si="19"/>
        <v>Excelsa</v>
      </c>
      <c r="O409" t="str">
        <f t="shared" si="20"/>
        <v>Medium</v>
      </c>
      <c r="P409" t="str">
        <f>_xlfn.XLOOKUP(Table1[[#This Row],[Customer ID]],customers!$A$1:$A$1001,customers!$I$1:$I$1001,,0)</f>
        <v>No</v>
      </c>
    </row>
    <row r="410" spans="1:16" x14ac:dyDescent="0.25">
      <c r="A410" s="2" t="s">
        <v>2792</v>
      </c>
      <c r="B410" s="8">
        <v>44659</v>
      </c>
      <c r="C410" s="2" t="s">
        <v>2793</v>
      </c>
      <c r="D410" t="s">
        <v>6175</v>
      </c>
      <c r="E410" s="2">
        <v>2</v>
      </c>
      <c r="F410" s="2" t="str">
        <f>_xlfn.XLOOKUP(orders!C410,customers!$A$1:$A$1001,customers!$B$1:$B$1001,,0)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9">
        <f>INDEX(products!$A$1:$G$49,MATCH(orders!$D410,products!$A$1:$A$49,0),MATCH(orders!K$1,products!$A$1:$G$1,0))</f>
        <v>2.5</v>
      </c>
      <c r="L410" s="10">
        <f>INDEX(products!$A$1:$G$49,MATCH(orders!$D410,products!$A$1:$A$49,0),MATCH(orders!L$1,products!$A$1:$G$1,0))</f>
        <v>25.874999999999996</v>
      </c>
      <c r="M410" s="10">
        <f t="shared" si="18"/>
        <v>51.749999999999993</v>
      </c>
      <c r="N410" t="str">
        <f t="shared" si="19"/>
        <v>Arabica</v>
      </c>
      <c r="O410" t="str">
        <f t="shared" si="20"/>
        <v>Medium</v>
      </c>
      <c r="P410" t="str">
        <f>_xlfn.XLOOKUP(Table1[[#This Row],[Customer ID]],customers!$A$1:$A$1001,customers!$I$1:$I$1001,,0)</f>
        <v>Yes</v>
      </c>
    </row>
    <row r="411" spans="1:16" x14ac:dyDescent="0.25">
      <c r="A411" s="2" t="s">
        <v>2798</v>
      </c>
      <c r="B411" s="8">
        <v>44203</v>
      </c>
      <c r="C411" s="2" t="s">
        <v>2799</v>
      </c>
      <c r="D411" t="s">
        <v>6170</v>
      </c>
      <c r="E411" s="2">
        <v>3</v>
      </c>
      <c r="F411" s="2" t="str">
        <f>_xlfn.XLOOKUP(orders!C411,customers!$A$1:$A$1001,customers!$B$1:$B$1001,,0)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9">
        <f>INDEX(products!$A$1:$G$49,MATCH(orders!$D411,products!$A$1:$A$49,0),MATCH(orders!K$1,products!$A$1:$G$1,0))</f>
        <v>1</v>
      </c>
      <c r="L411" s="10">
        <f>INDEX(products!$A$1:$G$49,MATCH(orders!$D411,products!$A$1:$A$49,0),MATCH(orders!L$1,products!$A$1:$G$1,0))</f>
        <v>15.85</v>
      </c>
      <c r="M411" s="10">
        <f t="shared" si="18"/>
        <v>47.55</v>
      </c>
      <c r="N411" t="str">
        <f t="shared" si="19"/>
        <v>Liberica</v>
      </c>
      <c r="O411" t="str">
        <f t="shared" si="20"/>
        <v>Light</v>
      </c>
      <c r="P411" t="str">
        <f>_xlfn.XLOOKUP(Table1[[#This Row],[Customer ID]],customers!$A$1:$A$1001,customers!$I$1:$I$1001,,0)</f>
        <v>Yes</v>
      </c>
    </row>
    <row r="412" spans="1:16" x14ac:dyDescent="0.25">
      <c r="A412" s="2" t="s">
        <v>2803</v>
      </c>
      <c r="B412" s="8">
        <v>44441</v>
      </c>
      <c r="C412" s="2" t="s">
        <v>2804</v>
      </c>
      <c r="D412" t="s">
        <v>6167</v>
      </c>
      <c r="E412" s="2">
        <v>4</v>
      </c>
      <c r="F412" s="2" t="str">
        <f>_xlfn.XLOOKUP(orders!C412,customers!$A$1:$A$1001,customers!$B$1:$B$1001,,0)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9">
        <f>INDEX(products!$A$1:$G$49,MATCH(orders!$D412,products!$A$1:$A$49,0),MATCH(orders!K$1,products!$A$1:$G$1,0))</f>
        <v>0.2</v>
      </c>
      <c r="L412" s="10">
        <f>INDEX(products!$A$1:$G$49,MATCH(orders!$D412,products!$A$1:$A$49,0),MATCH(orders!L$1,products!$A$1:$G$1,0))</f>
        <v>3.8849999999999998</v>
      </c>
      <c r="M412" s="10">
        <f t="shared" si="18"/>
        <v>15.54</v>
      </c>
      <c r="N412" t="str">
        <f t="shared" si="19"/>
        <v>Arabica</v>
      </c>
      <c r="O412" t="str">
        <f t="shared" si="20"/>
        <v>Light</v>
      </c>
      <c r="P412" t="str">
        <f>_xlfn.XLOOKUP(Table1[[#This Row],[Customer ID]],customers!$A$1:$A$1001,customers!$I$1:$I$1001,,0)</f>
        <v>No</v>
      </c>
    </row>
    <row r="413" spans="1:16" x14ac:dyDescent="0.25">
      <c r="A413" s="2" t="s">
        <v>2808</v>
      </c>
      <c r="B413" s="8">
        <v>44504</v>
      </c>
      <c r="C413" s="2" t="s">
        <v>2809</v>
      </c>
      <c r="D413" t="s">
        <v>6162</v>
      </c>
      <c r="E413" s="2">
        <v>6</v>
      </c>
      <c r="F413" s="2" t="str">
        <f>_xlfn.XLOOKUP(orders!C413,customers!$A$1:$A$1001,customers!$B$1:$B$1001,,0)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9">
        <f>INDEX(products!$A$1:$G$49,MATCH(orders!$D413,products!$A$1:$A$49,0),MATCH(orders!K$1,products!$A$1:$G$1,0))</f>
        <v>1</v>
      </c>
      <c r="L413" s="10">
        <f>INDEX(products!$A$1:$G$49,MATCH(orders!$D413,products!$A$1:$A$49,0),MATCH(orders!L$1,products!$A$1:$G$1,0))</f>
        <v>14.55</v>
      </c>
      <c r="M413" s="10">
        <f t="shared" si="18"/>
        <v>87.300000000000011</v>
      </c>
      <c r="N413" t="str">
        <f t="shared" si="19"/>
        <v>Liberica</v>
      </c>
      <c r="O413" t="str">
        <f t="shared" si="20"/>
        <v>Medium</v>
      </c>
      <c r="P413" t="str">
        <f>_xlfn.XLOOKUP(Table1[[#This Row],[Customer ID]],customers!$A$1:$A$1001,customers!$I$1:$I$1001,,0)</f>
        <v>Yes</v>
      </c>
    </row>
    <row r="414" spans="1:16" x14ac:dyDescent="0.25">
      <c r="A414" s="2" t="s">
        <v>2813</v>
      </c>
      <c r="B414" s="8">
        <v>44410</v>
      </c>
      <c r="C414" s="2" t="s">
        <v>2814</v>
      </c>
      <c r="D414" t="s">
        <v>6155</v>
      </c>
      <c r="E414" s="2">
        <v>5</v>
      </c>
      <c r="F414" s="2" t="str">
        <f>_xlfn.XLOOKUP(orders!C414,customers!$A$1:$A$1001,customers!$B$1:$B$1001,,0)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9">
        <f>INDEX(products!$A$1:$G$49,MATCH(orders!$D414,products!$A$1:$A$49,0),MATCH(orders!K$1,products!$A$1:$G$1,0))</f>
        <v>1</v>
      </c>
      <c r="L414" s="10">
        <f>INDEX(products!$A$1:$G$49,MATCH(orders!$D414,products!$A$1:$A$49,0),MATCH(orders!L$1,products!$A$1:$G$1,0))</f>
        <v>11.25</v>
      </c>
      <c r="M414" s="10">
        <f t="shared" si="18"/>
        <v>56.25</v>
      </c>
      <c r="N414" t="str">
        <f t="shared" si="19"/>
        <v>Arabica</v>
      </c>
      <c r="O414" t="str">
        <f t="shared" si="20"/>
        <v>Medium</v>
      </c>
      <c r="P414" t="str">
        <f>_xlfn.XLOOKUP(Table1[[#This Row],[Customer ID]],customers!$A$1:$A$1001,customers!$I$1:$I$1001,,0)</f>
        <v>Yes</v>
      </c>
    </row>
    <row r="415" spans="1:16" x14ac:dyDescent="0.25">
      <c r="A415" s="2" t="s">
        <v>2818</v>
      </c>
      <c r="B415" s="8">
        <v>43857</v>
      </c>
      <c r="C415" s="2" t="s">
        <v>2819</v>
      </c>
      <c r="D415" t="s">
        <v>6164</v>
      </c>
      <c r="E415" s="2">
        <v>1</v>
      </c>
      <c r="F415" s="2" t="str">
        <f>_xlfn.XLOOKUP(orders!C415,customers!$A$1:$A$1001,customers!$B$1:$B$1001,,0)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9">
        <f>INDEX(products!$A$1:$G$49,MATCH(orders!$D415,products!$A$1:$A$49,0),MATCH(orders!K$1,products!$A$1:$G$1,0))</f>
        <v>2.5</v>
      </c>
      <c r="L415" s="10">
        <f>INDEX(products!$A$1:$G$49,MATCH(orders!$D415,products!$A$1:$A$49,0),MATCH(orders!L$1,products!$A$1:$G$1,0))</f>
        <v>36.454999999999998</v>
      </c>
      <c r="M415" s="10">
        <f t="shared" si="18"/>
        <v>36.454999999999998</v>
      </c>
      <c r="N415" t="str">
        <f t="shared" si="19"/>
        <v>Liberica</v>
      </c>
      <c r="O415" t="str">
        <f t="shared" si="20"/>
        <v>Light</v>
      </c>
      <c r="P415" t="str">
        <f>_xlfn.XLOOKUP(Table1[[#This Row],[Customer ID]],customers!$A$1:$A$1001,customers!$I$1:$I$1001,,0)</f>
        <v>Yes</v>
      </c>
    </row>
    <row r="416" spans="1:16" x14ac:dyDescent="0.25">
      <c r="A416" s="2" t="s">
        <v>2824</v>
      </c>
      <c r="B416" s="8">
        <v>43802</v>
      </c>
      <c r="C416" s="2" t="s">
        <v>2825</v>
      </c>
      <c r="D416" t="s">
        <v>6178</v>
      </c>
      <c r="E416" s="2">
        <v>3</v>
      </c>
      <c r="F416" s="2" t="str">
        <f>_xlfn.XLOOKUP(orders!C416,customers!$A$1:$A$1001,customers!$B$1:$B$1001,,0)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9">
        <f>INDEX(products!$A$1:$G$49,MATCH(orders!$D416,products!$A$1:$A$49,0),MATCH(orders!K$1,products!$A$1:$G$1,0))</f>
        <v>0.2</v>
      </c>
      <c r="L416" s="10">
        <f>INDEX(products!$A$1:$G$49,MATCH(orders!$D416,products!$A$1:$A$49,0),MATCH(orders!L$1,products!$A$1:$G$1,0))</f>
        <v>3.5849999999999995</v>
      </c>
      <c r="M416" s="10">
        <f t="shared" si="18"/>
        <v>10.754999999999999</v>
      </c>
      <c r="N416" t="str">
        <f t="shared" si="19"/>
        <v>Robusta</v>
      </c>
      <c r="O416" t="str">
        <f t="shared" si="20"/>
        <v>Light</v>
      </c>
      <c r="P416" t="str">
        <f>_xlfn.XLOOKUP(Table1[[#This Row],[Customer ID]],customers!$A$1:$A$1001,customers!$I$1:$I$1001,,0)</f>
        <v>Yes</v>
      </c>
    </row>
    <row r="417" spans="1:16" x14ac:dyDescent="0.25">
      <c r="A417" s="2" t="s">
        <v>2829</v>
      </c>
      <c r="B417" s="8">
        <v>43683</v>
      </c>
      <c r="C417" s="2" t="s">
        <v>2830</v>
      </c>
      <c r="D417" t="s">
        <v>6174</v>
      </c>
      <c r="E417" s="2">
        <v>3</v>
      </c>
      <c r="F417" s="2" t="str">
        <f>_xlfn.XLOOKUP(orders!C417,customers!$A$1:$A$1001,customers!$B$1:$B$1001,,0)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9">
        <f>INDEX(products!$A$1:$G$49,MATCH(orders!$D417,products!$A$1:$A$49,0),MATCH(orders!K$1,products!$A$1:$G$1,0))</f>
        <v>0.2</v>
      </c>
      <c r="L417" s="10">
        <f>INDEX(products!$A$1:$G$49,MATCH(orders!$D417,products!$A$1:$A$49,0),MATCH(orders!L$1,products!$A$1:$G$1,0))</f>
        <v>2.9849999999999999</v>
      </c>
      <c r="M417" s="10">
        <f t="shared" si="18"/>
        <v>8.9550000000000001</v>
      </c>
      <c r="N417" t="str">
        <f t="shared" si="19"/>
        <v>Robusta</v>
      </c>
      <c r="O417" t="str">
        <f t="shared" si="20"/>
        <v>Medium</v>
      </c>
      <c r="P417" t="str">
        <f>_xlfn.XLOOKUP(Table1[[#This Row],[Customer ID]],customers!$A$1:$A$1001,customers!$I$1:$I$1001,,0)</f>
        <v>No</v>
      </c>
    </row>
    <row r="418" spans="1:16" x14ac:dyDescent="0.25">
      <c r="A418" s="2" t="s">
        <v>2834</v>
      </c>
      <c r="B418" s="8">
        <v>43901</v>
      </c>
      <c r="C418" s="2" t="s">
        <v>2835</v>
      </c>
      <c r="D418" t="s">
        <v>6180</v>
      </c>
      <c r="E418" s="2">
        <v>3</v>
      </c>
      <c r="F418" s="2" t="str">
        <f>_xlfn.XLOOKUP(orders!C418,customers!$A$1:$A$1001,customers!$B$1:$B$1001,,0)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9">
        <f>INDEX(products!$A$1:$G$49,MATCH(orders!$D418,products!$A$1:$A$49,0),MATCH(orders!K$1,products!$A$1:$G$1,0))</f>
        <v>0.5</v>
      </c>
      <c r="L418" s="10">
        <f>INDEX(products!$A$1:$G$49,MATCH(orders!$D418,products!$A$1:$A$49,0),MATCH(orders!L$1,products!$A$1:$G$1,0))</f>
        <v>7.77</v>
      </c>
      <c r="M418" s="10">
        <f t="shared" si="18"/>
        <v>23.31</v>
      </c>
      <c r="N418" t="str">
        <f t="shared" si="19"/>
        <v>Arabica</v>
      </c>
      <c r="O418" t="str">
        <f t="shared" si="20"/>
        <v>Light</v>
      </c>
      <c r="P418" t="str">
        <f>_xlfn.XLOOKUP(Table1[[#This Row],[Customer ID]],customers!$A$1:$A$1001,customers!$I$1:$I$1001,,0)</f>
        <v>Yes</v>
      </c>
    </row>
    <row r="419" spans="1:16" x14ac:dyDescent="0.25">
      <c r="A419" s="2" t="s">
        <v>2839</v>
      </c>
      <c r="B419" s="8">
        <v>44457</v>
      </c>
      <c r="C419" s="2" t="s">
        <v>2840</v>
      </c>
      <c r="D419" t="s">
        <v>6182</v>
      </c>
      <c r="E419" s="2">
        <v>1</v>
      </c>
      <c r="F419" s="2" t="str">
        <f>_xlfn.XLOOKUP(orders!C419,customers!$A$1:$A$1001,customers!$B$1:$B$1001,,0)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9">
        <f>INDEX(products!$A$1:$G$49,MATCH(orders!$D419,products!$A$1:$A$49,0),MATCH(orders!K$1,products!$A$1:$G$1,0))</f>
        <v>2.5</v>
      </c>
      <c r="L419" s="10">
        <f>INDEX(products!$A$1:$G$49,MATCH(orders!$D419,products!$A$1:$A$49,0),MATCH(orders!L$1,products!$A$1:$G$1,0))</f>
        <v>29.784999999999997</v>
      </c>
      <c r="M419" s="10">
        <f t="shared" si="18"/>
        <v>29.784999999999997</v>
      </c>
      <c r="N419" t="str">
        <f t="shared" si="19"/>
        <v>Arabica</v>
      </c>
      <c r="O419" t="str">
        <f t="shared" si="20"/>
        <v>Light</v>
      </c>
      <c r="P419" t="str">
        <f>_xlfn.XLOOKUP(Table1[[#This Row],[Customer ID]],customers!$A$1:$A$1001,customers!$I$1:$I$1001,,0)</f>
        <v>Yes</v>
      </c>
    </row>
    <row r="420" spans="1:16" x14ac:dyDescent="0.25">
      <c r="A420" s="2" t="s">
        <v>2844</v>
      </c>
      <c r="B420" s="8">
        <v>44142</v>
      </c>
      <c r="C420" s="2" t="s">
        <v>2845</v>
      </c>
      <c r="D420" t="s">
        <v>6182</v>
      </c>
      <c r="E420" s="2">
        <v>5</v>
      </c>
      <c r="F420" s="2" t="str">
        <f>_xlfn.XLOOKUP(orders!C420,customers!$A$1:$A$1001,customers!$B$1:$B$1001,,0)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9">
        <f>INDEX(products!$A$1:$G$49,MATCH(orders!$D420,products!$A$1:$A$49,0),MATCH(orders!K$1,products!$A$1:$G$1,0))</f>
        <v>2.5</v>
      </c>
      <c r="L420" s="10">
        <f>INDEX(products!$A$1:$G$49,MATCH(orders!$D420,products!$A$1:$A$49,0),MATCH(orders!L$1,products!$A$1:$G$1,0))</f>
        <v>29.784999999999997</v>
      </c>
      <c r="M420" s="10">
        <f t="shared" si="18"/>
        <v>148.92499999999998</v>
      </c>
      <c r="N420" t="str">
        <f t="shared" si="19"/>
        <v>Arabica</v>
      </c>
      <c r="O420" t="str">
        <f t="shared" si="20"/>
        <v>Light</v>
      </c>
      <c r="P420" t="str">
        <f>_xlfn.XLOOKUP(Table1[[#This Row],[Customer ID]],customers!$A$1:$A$1001,customers!$I$1:$I$1001,,0)</f>
        <v>Yes</v>
      </c>
    </row>
    <row r="421" spans="1:16" x14ac:dyDescent="0.25">
      <c r="A421" s="2" t="s">
        <v>2849</v>
      </c>
      <c r="B421" s="8">
        <v>44739</v>
      </c>
      <c r="C421" s="2" t="s">
        <v>2850</v>
      </c>
      <c r="D421" t="s">
        <v>6160</v>
      </c>
      <c r="E421" s="2">
        <v>1</v>
      </c>
      <c r="F421" s="2" t="str">
        <f>_xlfn.XLOOKUP(orders!C421,customers!$A$1:$A$1001,customers!$B$1:$B$1001,,0)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9">
        <f>INDEX(products!$A$1:$G$49,MATCH(orders!$D421,products!$A$1:$A$49,0),MATCH(orders!K$1,products!$A$1:$G$1,0))</f>
        <v>0.5</v>
      </c>
      <c r="L421" s="10">
        <f>INDEX(products!$A$1:$G$49,MATCH(orders!$D421,products!$A$1:$A$49,0),MATCH(orders!L$1,products!$A$1:$G$1,0))</f>
        <v>8.73</v>
      </c>
      <c r="M421" s="10">
        <f t="shared" si="18"/>
        <v>8.73</v>
      </c>
      <c r="N421" t="str">
        <f t="shared" si="19"/>
        <v>Liberica</v>
      </c>
      <c r="O421" t="str">
        <f t="shared" si="20"/>
        <v>Medium</v>
      </c>
      <c r="P421" t="str">
        <f>_xlfn.XLOOKUP(Table1[[#This Row],[Customer ID]],customers!$A$1:$A$1001,customers!$I$1:$I$1001,,0)</f>
        <v>Yes</v>
      </c>
    </row>
    <row r="422" spans="1:16" x14ac:dyDescent="0.25">
      <c r="A422" s="2" t="s">
        <v>2855</v>
      </c>
      <c r="B422" s="8">
        <v>43866</v>
      </c>
      <c r="C422" s="2" t="s">
        <v>2586</v>
      </c>
      <c r="D422" t="s">
        <v>6169</v>
      </c>
      <c r="E422" s="2">
        <v>4</v>
      </c>
      <c r="F422" s="2" t="str">
        <f>_xlfn.XLOOKUP(orders!C422,customers!$A$1:$A$1001,customers!$B$1:$B$1001,,0)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9">
        <f>INDEX(products!$A$1:$G$49,MATCH(orders!$D422,products!$A$1:$A$49,0),MATCH(orders!K$1,products!$A$1:$G$1,0))</f>
        <v>0.5</v>
      </c>
      <c r="L422" s="10">
        <f>INDEX(products!$A$1:$G$49,MATCH(orders!$D422,products!$A$1:$A$49,0),MATCH(orders!L$1,products!$A$1:$G$1,0))</f>
        <v>7.77</v>
      </c>
      <c r="M422" s="10">
        <f t="shared" si="18"/>
        <v>31.08</v>
      </c>
      <c r="N422" t="str">
        <f t="shared" si="19"/>
        <v>Liberica</v>
      </c>
      <c r="O422" t="str">
        <f t="shared" si="20"/>
        <v>Dark</v>
      </c>
      <c r="P422" t="str">
        <f>_xlfn.XLOOKUP(Table1[[#This Row],[Customer ID]],customers!$A$1:$A$1001,customers!$I$1:$I$1001,,0)</f>
        <v>No</v>
      </c>
    </row>
    <row r="423" spans="1:16" x14ac:dyDescent="0.25">
      <c r="A423" s="2" t="s">
        <v>2855</v>
      </c>
      <c r="B423" s="8">
        <v>43866</v>
      </c>
      <c r="C423" s="2" t="s">
        <v>2586</v>
      </c>
      <c r="D423" t="s">
        <v>6168</v>
      </c>
      <c r="E423" s="2">
        <v>6</v>
      </c>
      <c r="F423" s="2" t="str">
        <f>_xlfn.XLOOKUP(orders!C423,customers!$A$1:$A$1001,customers!$B$1:$B$1001,,0)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9">
        <f>INDEX(products!$A$1:$G$49,MATCH(orders!$D423,products!$A$1:$A$49,0),MATCH(orders!K$1,products!$A$1:$G$1,0))</f>
        <v>2.5</v>
      </c>
      <c r="L423" s="10">
        <f>INDEX(products!$A$1:$G$49,MATCH(orders!$D423,products!$A$1:$A$49,0),MATCH(orders!L$1,products!$A$1:$G$1,0))</f>
        <v>22.884999999999998</v>
      </c>
      <c r="M423" s="10">
        <f t="shared" si="18"/>
        <v>137.31</v>
      </c>
      <c r="N423" t="str">
        <f t="shared" si="19"/>
        <v>Arabica</v>
      </c>
      <c r="O423" t="str">
        <f t="shared" si="20"/>
        <v>Dark</v>
      </c>
      <c r="P423" t="str">
        <f>_xlfn.XLOOKUP(Table1[[#This Row],[Customer ID]],customers!$A$1:$A$1001,customers!$I$1:$I$1001,,0)</f>
        <v>No</v>
      </c>
    </row>
    <row r="424" spans="1:16" x14ac:dyDescent="0.25">
      <c r="A424" s="2" t="s">
        <v>2866</v>
      </c>
      <c r="B424" s="8">
        <v>43868</v>
      </c>
      <c r="C424" s="2" t="s">
        <v>2867</v>
      </c>
      <c r="D424" t="s">
        <v>6158</v>
      </c>
      <c r="E424" s="2">
        <v>5</v>
      </c>
      <c r="F424" s="2" t="str">
        <f>_xlfn.XLOOKUP(orders!C424,customers!$A$1:$A$1001,customers!$B$1:$B$1001,,0)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9">
        <f>INDEX(products!$A$1:$G$49,MATCH(orders!$D424,products!$A$1:$A$49,0),MATCH(orders!K$1,products!$A$1:$G$1,0))</f>
        <v>0.5</v>
      </c>
      <c r="L424" s="10">
        <f>INDEX(products!$A$1:$G$49,MATCH(orders!$D424,products!$A$1:$A$49,0),MATCH(orders!L$1,products!$A$1:$G$1,0))</f>
        <v>5.97</v>
      </c>
      <c r="M424" s="10">
        <f t="shared" si="18"/>
        <v>29.849999999999998</v>
      </c>
      <c r="N424" t="str">
        <f t="shared" si="19"/>
        <v>Arabica</v>
      </c>
      <c r="O424" t="str">
        <f t="shared" si="20"/>
        <v>Dark</v>
      </c>
      <c r="P424" t="str">
        <f>_xlfn.XLOOKUP(Table1[[#This Row],[Customer ID]],customers!$A$1:$A$1001,customers!$I$1:$I$1001,,0)</f>
        <v>No</v>
      </c>
    </row>
    <row r="425" spans="1:16" x14ac:dyDescent="0.25">
      <c r="A425" s="2" t="s">
        <v>2871</v>
      </c>
      <c r="B425" s="8">
        <v>44183</v>
      </c>
      <c r="C425" s="2" t="s">
        <v>2872</v>
      </c>
      <c r="D425" t="s">
        <v>6146</v>
      </c>
      <c r="E425" s="2">
        <v>3</v>
      </c>
      <c r="F425" s="2" t="str">
        <f>_xlfn.XLOOKUP(orders!C425,customers!$A$1:$A$1001,customers!$B$1:$B$1001,,0)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9">
        <f>INDEX(products!$A$1:$G$49,MATCH(orders!$D425,products!$A$1:$A$49,0),MATCH(orders!K$1,products!$A$1:$G$1,0))</f>
        <v>0.5</v>
      </c>
      <c r="L425" s="10">
        <f>INDEX(products!$A$1:$G$49,MATCH(orders!$D425,products!$A$1:$A$49,0),MATCH(orders!L$1,products!$A$1:$G$1,0))</f>
        <v>5.97</v>
      </c>
      <c r="M425" s="10">
        <f t="shared" si="18"/>
        <v>17.91</v>
      </c>
      <c r="N425" t="str">
        <f t="shared" si="19"/>
        <v>Robusta</v>
      </c>
      <c r="O425" t="str">
        <f t="shared" si="20"/>
        <v>Medium</v>
      </c>
      <c r="P425" t="str">
        <f>_xlfn.XLOOKUP(Table1[[#This Row],[Customer ID]],customers!$A$1:$A$1001,customers!$I$1:$I$1001,,0)</f>
        <v>No</v>
      </c>
    </row>
    <row r="426" spans="1:16" x14ac:dyDescent="0.25">
      <c r="A426" s="2" t="s">
        <v>2876</v>
      </c>
      <c r="B426" s="8">
        <v>44431</v>
      </c>
      <c r="C426" s="2" t="s">
        <v>2877</v>
      </c>
      <c r="D426" t="s">
        <v>6176</v>
      </c>
      <c r="E426" s="2">
        <v>3</v>
      </c>
      <c r="F426" s="2" t="str">
        <f>_xlfn.XLOOKUP(orders!C426,customers!$A$1:$A$1001,customers!$B$1:$B$1001,,0)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9">
        <f>INDEX(products!$A$1:$G$49,MATCH(orders!$D426,products!$A$1:$A$49,0),MATCH(orders!K$1,products!$A$1:$G$1,0))</f>
        <v>0.5</v>
      </c>
      <c r="L426" s="10">
        <f>INDEX(products!$A$1:$G$49,MATCH(orders!$D426,products!$A$1:$A$49,0),MATCH(orders!L$1,products!$A$1:$G$1,0))</f>
        <v>8.91</v>
      </c>
      <c r="M426" s="10">
        <f t="shared" si="18"/>
        <v>26.73</v>
      </c>
      <c r="N426" t="str">
        <f t="shared" si="19"/>
        <v>Excelsa</v>
      </c>
      <c r="O426" t="str">
        <f t="shared" si="20"/>
        <v>Light</v>
      </c>
      <c r="P426" t="str">
        <f>_xlfn.XLOOKUP(Table1[[#This Row],[Customer ID]],customers!$A$1:$A$1001,customers!$I$1:$I$1001,,0)</f>
        <v>Yes</v>
      </c>
    </row>
    <row r="427" spans="1:16" x14ac:dyDescent="0.25">
      <c r="A427" s="2" t="s">
        <v>2882</v>
      </c>
      <c r="B427" s="8">
        <v>44428</v>
      </c>
      <c r="C427" s="2" t="s">
        <v>2883</v>
      </c>
      <c r="D427" t="s">
        <v>6177</v>
      </c>
      <c r="E427" s="2">
        <v>2</v>
      </c>
      <c r="F427" s="2" t="str">
        <f>_xlfn.XLOOKUP(orders!C427,customers!$A$1:$A$1001,customers!$B$1:$B$1001,,0)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9">
        <f>INDEX(products!$A$1:$G$49,MATCH(orders!$D427,products!$A$1:$A$49,0),MATCH(orders!K$1,products!$A$1:$G$1,0))</f>
        <v>1</v>
      </c>
      <c r="L427" s="10">
        <f>INDEX(products!$A$1:$G$49,MATCH(orders!$D427,products!$A$1:$A$49,0),MATCH(orders!L$1,products!$A$1:$G$1,0))</f>
        <v>8.9499999999999993</v>
      </c>
      <c r="M427" s="10">
        <f t="shared" si="18"/>
        <v>17.899999999999999</v>
      </c>
      <c r="N427" t="str">
        <f t="shared" si="19"/>
        <v>Robusta</v>
      </c>
      <c r="O427" t="str">
        <f t="shared" si="20"/>
        <v>Dark</v>
      </c>
      <c r="P427" t="str">
        <f>_xlfn.XLOOKUP(Table1[[#This Row],[Customer ID]],customers!$A$1:$A$1001,customers!$I$1:$I$1001,,0)</f>
        <v>No</v>
      </c>
    </row>
    <row r="428" spans="1:16" x14ac:dyDescent="0.25">
      <c r="A428" s="2" t="s">
        <v>2888</v>
      </c>
      <c r="B428" s="8">
        <v>43556</v>
      </c>
      <c r="C428" s="2" t="s">
        <v>2889</v>
      </c>
      <c r="D428" t="s">
        <v>6178</v>
      </c>
      <c r="E428" s="2">
        <v>4</v>
      </c>
      <c r="F428" s="2" t="str">
        <f>_xlfn.XLOOKUP(orders!C428,customers!$A$1:$A$1001,customers!$B$1:$B$1001,,0)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9">
        <f>INDEX(products!$A$1:$G$49,MATCH(orders!$D428,products!$A$1:$A$49,0),MATCH(orders!K$1,products!$A$1:$G$1,0))</f>
        <v>0.2</v>
      </c>
      <c r="L428" s="10">
        <f>INDEX(products!$A$1:$G$49,MATCH(orders!$D428,products!$A$1:$A$49,0),MATCH(orders!L$1,products!$A$1:$G$1,0))</f>
        <v>3.5849999999999995</v>
      </c>
      <c r="M428" s="10">
        <f t="shared" si="18"/>
        <v>14.339999999999998</v>
      </c>
      <c r="N428" t="str">
        <f t="shared" si="19"/>
        <v>Robusta</v>
      </c>
      <c r="O428" t="str">
        <f t="shared" si="20"/>
        <v>Light</v>
      </c>
      <c r="P428" t="str">
        <f>_xlfn.XLOOKUP(Table1[[#This Row],[Customer ID]],customers!$A$1:$A$1001,customers!$I$1:$I$1001,,0)</f>
        <v>Yes</v>
      </c>
    </row>
    <row r="429" spans="1:16" x14ac:dyDescent="0.25">
      <c r="A429" s="2" t="s">
        <v>2894</v>
      </c>
      <c r="B429" s="8">
        <v>44224</v>
      </c>
      <c r="C429" s="2" t="s">
        <v>2895</v>
      </c>
      <c r="D429" t="s">
        <v>6175</v>
      </c>
      <c r="E429" s="2">
        <v>3</v>
      </c>
      <c r="F429" s="2" t="str">
        <f>_xlfn.XLOOKUP(orders!C429,customers!$A$1:$A$1001,customers!$B$1:$B$1001,,0)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9">
        <f>INDEX(products!$A$1:$G$49,MATCH(orders!$D429,products!$A$1:$A$49,0),MATCH(orders!K$1,products!$A$1:$G$1,0))</f>
        <v>2.5</v>
      </c>
      <c r="L429" s="10">
        <f>INDEX(products!$A$1:$G$49,MATCH(orders!$D429,products!$A$1:$A$49,0),MATCH(orders!L$1,products!$A$1:$G$1,0))</f>
        <v>25.874999999999996</v>
      </c>
      <c r="M429" s="10">
        <f t="shared" si="18"/>
        <v>77.624999999999986</v>
      </c>
      <c r="N429" t="str">
        <f t="shared" si="19"/>
        <v>Arabica</v>
      </c>
      <c r="O429" t="str">
        <f t="shared" si="20"/>
        <v>Medium</v>
      </c>
      <c r="P429" t="str">
        <f>_xlfn.XLOOKUP(Table1[[#This Row],[Customer ID]],customers!$A$1:$A$1001,customers!$I$1:$I$1001,,0)</f>
        <v>Yes</v>
      </c>
    </row>
    <row r="430" spans="1:16" x14ac:dyDescent="0.25">
      <c r="A430" s="2" t="s">
        <v>2899</v>
      </c>
      <c r="B430" s="8">
        <v>43759</v>
      </c>
      <c r="C430" s="2" t="s">
        <v>2900</v>
      </c>
      <c r="D430" t="s">
        <v>6179</v>
      </c>
      <c r="E430" s="2">
        <v>5</v>
      </c>
      <c r="F430" s="2" t="str">
        <f>_xlfn.XLOOKUP(orders!C430,customers!$A$1:$A$1001,customers!$B$1:$B$1001,,0)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9">
        <f>INDEX(products!$A$1:$G$49,MATCH(orders!$D430,products!$A$1:$A$49,0),MATCH(orders!K$1,products!$A$1:$G$1,0))</f>
        <v>1</v>
      </c>
      <c r="L430" s="10">
        <f>INDEX(products!$A$1:$G$49,MATCH(orders!$D430,products!$A$1:$A$49,0),MATCH(orders!L$1,products!$A$1:$G$1,0))</f>
        <v>11.95</v>
      </c>
      <c r="M430" s="10">
        <f t="shared" si="18"/>
        <v>59.75</v>
      </c>
      <c r="N430" t="str">
        <f t="shared" si="19"/>
        <v>Robusta</v>
      </c>
      <c r="O430" t="str">
        <f t="shared" si="20"/>
        <v>Light</v>
      </c>
      <c r="P430" t="str">
        <f>_xlfn.XLOOKUP(Table1[[#This Row],[Customer ID]],customers!$A$1:$A$1001,customers!$I$1:$I$1001,,0)</f>
        <v>No</v>
      </c>
    </row>
    <row r="431" spans="1:16" x14ac:dyDescent="0.25">
      <c r="A431" s="2" t="s">
        <v>2905</v>
      </c>
      <c r="B431" s="8">
        <v>44367</v>
      </c>
      <c r="C431" s="2" t="s">
        <v>2586</v>
      </c>
      <c r="D431" t="s">
        <v>6140</v>
      </c>
      <c r="E431" s="2">
        <v>6</v>
      </c>
      <c r="F431" s="2" t="str">
        <f>_xlfn.XLOOKUP(orders!C431,customers!$A$1:$A$1001,customers!$B$1:$B$1001,,0)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9">
        <f>INDEX(products!$A$1:$G$49,MATCH(orders!$D431,products!$A$1:$A$49,0),MATCH(orders!K$1,products!$A$1:$G$1,0))</f>
        <v>1</v>
      </c>
      <c r="L431" s="10">
        <f>INDEX(products!$A$1:$G$49,MATCH(orders!$D431,products!$A$1:$A$49,0),MATCH(orders!L$1,products!$A$1:$G$1,0))</f>
        <v>12.95</v>
      </c>
      <c r="M431" s="10">
        <f t="shared" si="18"/>
        <v>77.699999999999989</v>
      </c>
      <c r="N431" t="str">
        <f t="shared" si="19"/>
        <v>Arabica</v>
      </c>
      <c r="O431" t="str">
        <f t="shared" si="20"/>
        <v>Light</v>
      </c>
      <c r="P431" t="str">
        <f>_xlfn.XLOOKUP(Table1[[#This Row],[Customer ID]],customers!$A$1:$A$1001,customers!$I$1:$I$1001,,0)</f>
        <v>No</v>
      </c>
    </row>
    <row r="432" spans="1:16" x14ac:dyDescent="0.25">
      <c r="A432" s="2" t="s">
        <v>2911</v>
      </c>
      <c r="B432" s="8">
        <v>44504</v>
      </c>
      <c r="C432" s="2" t="s">
        <v>2912</v>
      </c>
      <c r="D432" t="s">
        <v>6163</v>
      </c>
      <c r="E432" s="2">
        <v>2</v>
      </c>
      <c r="F432" s="2" t="str">
        <f>_xlfn.XLOOKUP(orders!C432,customers!$A$1:$A$1001,customers!$B$1:$B$1001,,0)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9">
        <f>INDEX(products!$A$1:$G$49,MATCH(orders!$D432,products!$A$1:$A$49,0),MATCH(orders!K$1,products!$A$1:$G$1,0))</f>
        <v>0.2</v>
      </c>
      <c r="L432" s="10">
        <f>INDEX(products!$A$1:$G$49,MATCH(orders!$D432,products!$A$1:$A$49,0),MATCH(orders!L$1,products!$A$1:$G$1,0))</f>
        <v>2.6849999999999996</v>
      </c>
      <c r="M432" s="10">
        <f t="shared" si="18"/>
        <v>5.3699999999999992</v>
      </c>
      <c r="N432" t="str">
        <f t="shared" si="19"/>
        <v>Robusta</v>
      </c>
      <c r="O432" t="str">
        <f t="shared" si="20"/>
        <v>Dark</v>
      </c>
      <c r="P432" t="str">
        <f>_xlfn.XLOOKUP(Table1[[#This Row],[Customer ID]],customers!$A$1:$A$1001,customers!$I$1:$I$1001,,0)</f>
        <v>Yes</v>
      </c>
    </row>
    <row r="433" spans="1:16" x14ac:dyDescent="0.25">
      <c r="A433" s="2" t="s">
        <v>2917</v>
      </c>
      <c r="B433" s="8">
        <v>44291</v>
      </c>
      <c r="C433" s="2" t="s">
        <v>2918</v>
      </c>
      <c r="D433" t="s">
        <v>6185</v>
      </c>
      <c r="E433" s="2">
        <v>3</v>
      </c>
      <c r="F433" s="2" t="str">
        <f>_xlfn.XLOOKUP(orders!C433,customers!$A$1:$A$1001,customers!$B$1:$B$1001,,0)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9">
        <f>INDEX(products!$A$1:$G$49,MATCH(orders!$D433,products!$A$1:$A$49,0),MATCH(orders!K$1,products!$A$1:$G$1,0))</f>
        <v>2.5</v>
      </c>
      <c r="L433" s="10">
        <f>INDEX(products!$A$1:$G$49,MATCH(orders!$D433,products!$A$1:$A$49,0),MATCH(orders!L$1,products!$A$1:$G$1,0))</f>
        <v>27.945</v>
      </c>
      <c r="M433" s="10">
        <f t="shared" si="18"/>
        <v>83.835000000000008</v>
      </c>
      <c r="N433" t="str">
        <f t="shared" si="19"/>
        <v>Excelsa</v>
      </c>
      <c r="O433" t="str">
        <f t="shared" si="20"/>
        <v>Dark</v>
      </c>
      <c r="P433" t="str">
        <f>_xlfn.XLOOKUP(Table1[[#This Row],[Customer ID]],customers!$A$1:$A$1001,customers!$I$1:$I$1001,,0)</f>
        <v>Yes</v>
      </c>
    </row>
    <row r="434" spans="1:16" x14ac:dyDescent="0.25">
      <c r="A434" s="2" t="s">
        <v>2923</v>
      </c>
      <c r="B434" s="8">
        <v>43808</v>
      </c>
      <c r="C434" s="2" t="s">
        <v>2924</v>
      </c>
      <c r="D434" t="s">
        <v>6155</v>
      </c>
      <c r="E434" s="2">
        <v>2</v>
      </c>
      <c r="F434" s="2" t="str">
        <f>_xlfn.XLOOKUP(orders!C434,customers!$A$1:$A$1001,customers!$B$1:$B$1001,,0)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9">
        <f>INDEX(products!$A$1:$G$49,MATCH(orders!$D434,products!$A$1:$A$49,0),MATCH(orders!K$1,products!$A$1:$G$1,0))</f>
        <v>1</v>
      </c>
      <c r="L434" s="10">
        <f>INDEX(products!$A$1:$G$49,MATCH(orders!$D434,products!$A$1:$A$49,0),MATCH(orders!L$1,products!$A$1:$G$1,0))</f>
        <v>11.25</v>
      </c>
      <c r="M434" s="10">
        <f t="shared" si="18"/>
        <v>22.5</v>
      </c>
      <c r="N434" t="str">
        <f t="shared" si="19"/>
        <v>Arabica</v>
      </c>
      <c r="O434" t="str">
        <f t="shared" si="20"/>
        <v>Medium</v>
      </c>
      <c r="P434" t="str">
        <f>_xlfn.XLOOKUP(Table1[[#This Row],[Customer ID]],customers!$A$1:$A$1001,customers!$I$1:$I$1001,,0)</f>
        <v>No</v>
      </c>
    </row>
    <row r="435" spans="1:16" x14ac:dyDescent="0.25">
      <c r="A435" s="2" t="s">
        <v>2928</v>
      </c>
      <c r="B435" s="8">
        <v>44563</v>
      </c>
      <c r="C435" s="2" t="s">
        <v>2929</v>
      </c>
      <c r="D435" t="s">
        <v>6181</v>
      </c>
      <c r="E435" s="2">
        <v>6</v>
      </c>
      <c r="F435" s="2" t="str">
        <f>_xlfn.XLOOKUP(orders!C435,customers!$A$1:$A$1001,customers!$B$1:$B$1001,,0)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9">
        <f>INDEX(products!$A$1:$G$49,MATCH(orders!$D435,products!$A$1:$A$49,0),MATCH(orders!K$1,products!$A$1:$G$1,0))</f>
        <v>2.5</v>
      </c>
      <c r="L435" s="10">
        <f>INDEX(products!$A$1:$G$49,MATCH(orders!$D435,products!$A$1:$A$49,0),MATCH(orders!L$1,products!$A$1:$G$1,0))</f>
        <v>33.464999999999996</v>
      </c>
      <c r="M435" s="10">
        <f t="shared" si="18"/>
        <v>200.78999999999996</v>
      </c>
      <c r="N435" t="str">
        <f t="shared" si="19"/>
        <v>Liberica</v>
      </c>
      <c r="O435" t="str">
        <f t="shared" si="20"/>
        <v>Medium</v>
      </c>
      <c r="P435" t="str">
        <f>_xlfn.XLOOKUP(Table1[[#This Row],[Customer ID]],customers!$A$1:$A$1001,customers!$I$1:$I$1001,,0)</f>
        <v>Yes</v>
      </c>
    </row>
    <row r="436" spans="1:16" x14ac:dyDescent="0.25">
      <c r="A436" s="2" t="s">
        <v>2934</v>
      </c>
      <c r="B436" s="8">
        <v>43807</v>
      </c>
      <c r="C436" s="2" t="s">
        <v>2935</v>
      </c>
      <c r="D436" t="s">
        <v>6155</v>
      </c>
      <c r="E436" s="2">
        <v>6</v>
      </c>
      <c r="F436" s="2" t="str">
        <f>_xlfn.XLOOKUP(orders!C436,customers!$A$1:$A$1001,customers!$B$1:$B$1001,,0)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9">
        <f>INDEX(products!$A$1:$G$49,MATCH(orders!$D436,products!$A$1:$A$49,0),MATCH(orders!K$1,products!$A$1:$G$1,0))</f>
        <v>1</v>
      </c>
      <c r="L436" s="10">
        <f>INDEX(products!$A$1:$G$49,MATCH(orders!$D436,products!$A$1:$A$49,0),MATCH(orders!L$1,products!$A$1:$G$1,0))</f>
        <v>11.25</v>
      </c>
      <c r="M436" s="10">
        <f t="shared" si="18"/>
        <v>67.5</v>
      </c>
      <c r="N436" t="str">
        <f t="shared" si="19"/>
        <v>Arabica</v>
      </c>
      <c r="O436" t="str">
        <f t="shared" si="20"/>
        <v>Medium</v>
      </c>
      <c r="P436" t="str">
        <f>_xlfn.XLOOKUP(Table1[[#This Row],[Customer ID]],customers!$A$1:$A$1001,customers!$I$1:$I$1001,,0)</f>
        <v>No</v>
      </c>
    </row>
    <row r="437" spans="1:16" x14ac:dyDescent="0.25">
      <c r="A437" s="2" t="s">
        <v>2939</v>
      </c>
      <c r="B437" s="8">
        <v>44528</v>
      </c>
      <c r="C437" s="2" t="s">
        <v>2940</v>
      </c>
      <c r="D437" t="s">
        <v>6139</v>
      </c>
      <c r="E437" s="2">
        <v>1</v>
      </c>
      <c r="F437" s="2" t="str">
        <f>_xlfn.XLOOKUP(orders!C437,customers!$A$1:$A$1001,customers!$B$1:$B$1001,,0)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9">
        <f>INDEX(products!$A$1:$G$49,MATCH(orders!$D437,products!$A$1:$A$49,0),MATCH(orders!K$1,products!$A$1:$G$1,0))</f>
        <v>0.5</v>
      </c>
      <c r="L437" s="10">
        <f>INDEX(products!$A$1:$G$49,MATCH(orders!$D437,products!$A$1:$A$49,0),MATCH(orders!L$1,products!$A$1:$G$1,0))</f>
        <v>8.25</v>
      </c>
      <c r="M437" s="10">
        <f t="shared" si="18"/>
        <v>8.25</v>
      </c>
      <c r="N437" t="str">
        <f t="shared" si="19"/>
        <v>Excelsa</v>
      </c>
      <c r="O437" t="str">
        <f t="shared" si="20"/>
        <v>Medium</v>
      </c>
      <c r="P437" t="str">
        <f>_xlfn.XLOOKUP(Table1[[#This Row],[Customer ID]],customers!$A$1:$A$1001,customers!$I$1:$I$1001,,0)</f>
        <v>No</v>
      </c>
    </row>
    <row r="438" spans="1:16" x14ac:dyDescent="0.25">
      <c r="A438" s="2" t="s">
        <v>2945</v>
      </c>
      <c r="B438" s="8">
        <v>44631</v>
      </c>
      <c r="C438" s="2" t="s">
        <v>2946</v>
      </c>
      <c r="D438" t="s">
        <v>6145</v>
      </c>
      <c r="E438" s="2">
        <v>2</v>
      </c>
      <c r="F438" s="2" t="str">
        <f>_xlfn.XLOOKUP(orders!C438,customers!$A$1:$A$1001,customers!$B$1:$B$1001,,0)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9">
        <f>INDEX(products!$A$1:$G$49,MATCH(orders!$D438,products!$A$1:$A$49,0),MATCH(orders!K$1,products!$A$1:$G$1,0))</f>
        <v>0.2</v>
      </c>
      <c r="L438" s="10">
        <f>INDEX(products!$A$1:$G$49,MATCH(orders!$D438,products!$A$1:$A$49,0),MATCH(orders!L$1,products!$A$1:$G$1,0))</f>
        <v>4.7549999999999999</v>
      </c>
      <c r="M438" s="10">
        <f t="shared" si="18"/>
        <v>9.51</v>
      </c>
      <c r="N438" t="str">
        <f t="shared" si="19"/>
        <v>Liberica</v>
      </c>
      <c r="O438" t="str">
        <f t="shared" si="20"/>
        <v>Light</v>
      </c>
      <c r="P438" t="str">
        <f>_xlfn.XLOOKUP(Table1[[#This Row],[Customer ID]],customers!$A$1:$A$1001,customers!$I$1:$I$1001,,0)</f>
        <v>Yes</v>
      </c>
    </row>
    <row r="439" spans="1:16" x14ac:dyDescent="0.25">
      <c r="A439" s="2" t="s">
        <v>2951</v>
      </c>
      <c r="B439" s="8">
        <v>44213</v>
      </c>
      <c r="C439" s="2" t="s">
        <v>2952</v>
      </c>
      <c r="D439" t="s">
        <v>6165</v>
      </c>
      <c r="E439" s="2">
        <v>1</v>
      </c>
      <c r="F439" s="2" t="str">
        <f>_xlfn.XLOOKUP(orders!C439,customers!$A$1:$A$1001,customers!$B$1:$B$1001,,0)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9">
        <f>INDEX(products!$A$1:$G$49,MATCH(orders!$D439,products!$A$1:$A$49,0),MATCH(orders!K$1,products!$A$1:$G$1,0))</f>
        <v>2.5</v>
      </c>
      <c r="L439" s="10">
        <f>INDEX(products!$A$1:$G$49,MATCH(orders!$D439,products!$A$1:$A$49,0),MATCH(orders!L$1,products!$A$1:$G$1,0))</f>
        <v>29.784999999999997</v>
      </c>
      <c r="M439" s="10">
        <f t="shared" si="18"/>
        <v>29.784999999999997</v>
      </c>
      <c r="N439" t="str">
        <f t="shared" si="19"/>
        <v>Liberica</v>
      </c>
      <c r="O439" t="str">
        <f t="shared" si="20"/>
        <v>Dark</v>
      </c>
      <c r="P439" t="str">
        <f>_xlfn.XLOOKUP(Table1[[#This Row],[Customer ID]],customers!$A$1:$A$1001,customers!$I$1:$I$1001,,0)</f>
        <v>No</v>
      </c>
    </row>
    <row r="440" spans="1:16" x14ac:dyDescent="0.25">
      <c r="A440" s="2" t="s">
        <v>2956</v>
      </c>
      <c r="B440" s="8">
        <v>43483</v>
      </c>
      <c r="C440" s="2" t="s">
        <v>3042</v>
      </c>
      <c r="D440" t="s">
        <v>6169</v>
      </c>
      <c r="E440" s="2">
        <v>2</v>
      </c>
      <c r="F440" s="2" t="str">
        <f>_xlfn.XLOOKUP(orders!C440,customers!$A$1:$A$1001,customers!$B$1:$B$1001,,0)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9">
        <f>INDEX(products!$A$1:$G$49,MATCH(orders!$D440,products!$A$1:$A$49,0),MATCH(orders!K$1,products!$A$1:$G$1,0))</f>
        <v>0.5</v>
      </c>
      <c r="L440" s="10">
        <f>INDEX(products!$A$1:$G$49,MATCH(orders!$D440,products!$A$1:$A$49,0),MATCH(orders!L$1,products!$A$1:$G$1,0))</f>
        <v>7.77</v>
      </c>
      <c r="M440" s="10">
        <f t="shared" si="18"/>
        <v>15.54</v>
      </c>
      <c r="N440" t="str">
        <f t="shared" si="19"/>
        <v>Liberica</v>
      </c>
      <c r="O440" t="str">
        <f t="shared" si="20"/>
        <v>Dark</v>
      </c>
      <c r="P440" t="str">
        <f>_xlfn.XLOOKUP(Table1[[#This Row],[Customer ID]],customers!$A$1:$A$1001,customers!$I$1:$I$1001,,0)</f>
        <v>No</v>
      </c>
    </row>
    <row r="441" spans="1:16" x14ac:dyDescent="0.25">
      <c r="A441" s="2" t="s">
        <v>2962</v>
      </c>
      <c r="B441" s="8">
        <v>43562</v>
      </c>
      <c r="C441" s="2" t="s">
        <v>2963</v>
      </c>
      <c r="D441" t="s">
        <v>6176</v>
      </c>
      <c r="E441" s="2">
        <v>4</v>
      </c>
      <c r="F441" s="2" t="str">
        <f>_xlfn.XLOOKUP(orders!C441,customers!$A$1:$A$1001,customers!$B$1:$B$1001,,0)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9">
        <f>INDEX(products!$A$1:$G$49,MATCH(orders!$D441,products!$A$1:$A$49,0),MATCH(orders!K$1,products!$A$1:$G$1,0))</f>
        <v>0.5</v>
      </c>
      <c r="L441" s="10">
        <f>INDEX(products!$A$1:$G$49,MATCH(orders!$D441,products!$A$1:$A$49,0),MATCH(orders!L$1,products!$A$1:$G$1,0))</f>
        <v>8.91</v>
      </c>
      <c r="M441" s="10">
        <f t="shared" si="18"/>
        <v>35.64</v>
      </c>
      <c r="N441" t="str">
        <f t="shared" si="19"/>
        <v>Excelsa</v>
      </c>
      <c r="O441" t="str">
        <f t="shared" si="20"/>
        <v>Light</v>
      </c>
      <c r="P441" t="str">
        <f>_xlfn.XLOOKUP(Table1[[#This Row],[Customer ID]],customers!$A$1:$A$1001,customers!$I$1:$I$1001,,0)</f>
        <v>No</v>
      </c>
    </row>
    <row r="442" spans="1:16" x14ac:dyDescent="0.25">
      <c r="A442" s="2" t="s">
        <v>2968</v>
      </c>
      <c r="B442" s="8">
        <v>44230</v>
      </c>
      <c r="C442" s="2" t="s">
        <v>2969</v>
      </c>
      <c r="D442" t="s">
        <v>6175</v>
      </c>
      <c r="E442" s="2">
        <v>4</v>
      </c>
      <c r="F442" s="2" t="str">
        <f>_xlfn.XLOOKUP(orders!C442,customers!$A$1:$A$1001,customers!$B$1:$B$1001,,0)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9">
        <f>INDEX(products!$A$1:$G$49,MATCH(orders!$D442,products!$A$1:$A$49,0),MATCH(orders!K$1,products!$A$1:$G$1,0))</f>
        <v>2.5</v>
      </c>
      <c r="L442" s="10">
        <f>INDEX(products!$A$1:$G$49,MATCH(orders!$D442,products!$A$1:$A$49,0),MATCH(orders!L$1,products!$A$1:$G$1,0))</f>
        <v>25.874999999999996</v>
      </c>
      <c r="M442" s="10">
        <f t="shared" si="18"/>
        <v>103.49999999999999</v>
      </c>
      <c r="N442" t="str">
        <f t="shared" si="19"/>
        <v>Arabica</v>
      </c>
      <c r="O442" t="str">
        <f t="shared" si="20"/>
        <v>Medium</v>
      </c>
      <c r="P442" t="str">
        <f>_xlfn.XLOOKUP(Table1[[#This Row],[Customer ID]],customers!$A$1:$A$1001,customers!$I$1:$I$1001,,0)</f>
        <v>Yes</v>
      </c>
    </row>
    <row r="443" spans="1:16" x14ac:dyDescent="0.25">
      <c r="A443" s="2" t="s">
        <v>2974</v>
      </c>
      <c r="B443" s="8">
        <v>43573</v>
      </c>
      <c r="C443" s="2" t="s">
        <v>2975</v>
      </c>
      <c r="D443" t="s">
        <v>6183</v>
      </c>
      <c r="E443" s="2">
        <v>3</v>
      </c>
      <c r="F443" s="2" t="str">
        <f>_xlfn.XLOOKUP(orders!C443,customers!$A$1:$A$1001,customers!$B$1:$B$1001,,0)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9">
        <f>INDEX(products!$A$1:$G$49,MATCH(orders!$D443,products!$A$1:$A$49,0),MATCH(orders!K$1,products!$A$1:$G$1,0))</f>
        <v>1</v>
      </c>
      <c r="L443" s="10">
        <f>INDEX(products!$A$1:$G$49,MATCH(orders!$D443,products!$A$1:$A$49,0),MATCH(orders!L$1,products!$A$1:$G$1,0))</f>
        <v>12.15</v>
      </c>
      <c r="M443" s="10">
        <f t="shared" si="18"/>
        <v>36.450000000000003</v>
      </c>
      <c r="N443" t="str">
        <f t="shared" si="19"/>
        <v>Excelsa</v>
      </c>
      <c r="O443" t="str">
        <f t="shared" si="20"/>
        <v>Dark</v>
      </c>
      <c r="P443" t="str">
        <f>_xlfn.XLOOKUP(Table1[[#This Row],[Customer ID]],customers!$A$1:$A$1001,customers!$I$1:$I$1001,,0)</f>
        <v>Yes</v>
      </c>
    </row>
    <row r="444" spans="1:16" x14ac:dyDescent="0.25">
      <c r="A444" s="2" t="s">
        <v>2980</v>
      </c>
      <c r="B444" s="8">
        <v>44384</v>
      </c>
      <c r="C444" s="2" t="s">
        <v>2981</v>
      </c>
      <c r="D444" t="s">
        <v>6173</v>
      </c>
      <c r="E444" s="2">
        <v>5</v>
      </c>
      <c r="F444" s="2" t="str">
        <f>_xlfn.XLOOKUP(orders!C444,customers!$A$1:$A$1001,customers!$B$1:$B$1001,,0)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9">
        <f>INDEX(products!$A$1:$G$49,MATCH(orders!$D444,products!$A$1:$A$49,0),MATCH(orders!K$1,products!$A$1:$G$1,0))</f>
        <v>0.5</v>
      </c>
      <c r="L444" s="10">
        <f>INDEX(products!$A$1:$G$49,MATCH(orders!$D444,products!$A$1:$A$49,0),MATCH(orders!L$1,products!$A$1:$G$1,0))</f>
        <v>7.169999999999999</v>
      </c>
      <c r="M444" s="10">
        <f t="shared" si="18"/>
        <v>35.849999999999994</v>
      </c>
      <c r="N444" t="str">
        <f t="shared" si="19"/>
        <v>Robusta</v>
      </c>
      <c r="O444" t="str">
        <f t="shared" si="20"/>
        <v>Light</v>
      </c>
      <c r="P444" t="str">
        <f>_xlfn.XLOOKUP(Table1[[#This Row],[Customer ID]],customers!$A$1:$A$1001,customers!$I$1:$I$1001,,0)</f>
        <v>No</v>
      </c>
    </row>
    <row r="445" spans="1:16" x14ac:dyDescent="0.25">
      <c r="A445" s="2" t="s">
        <v>2986</v>
      </c>
      <c r="B445" s="8">
        <v>44250</v>
      </c>
      <c r="C445" s="2" t="s">
        <v>2987</v>
      </c>
      <c r="D445" t="s">
        <v>6184</v>
      </c>
      <c r="E445" s="2">
        <v>5</v>
      </c>
      <c r="F445" s="2" t="str">
        <f>_xlfn.XLOOKUP(orders!C445,customers!$A$1:$A$1001,customers!$B$1:$B$1001,,0)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9">
        <f>INDEX(products!$A$1:$G$49,MATCH(orders!$D445,products!$A$1:$A$49,0),MATCH(orders!K$1,products!$A$1:$G$1,0))</f>
        <v>0.2</v>
      </c>
      <c r="L445" s="10">
        <f>INDEX(products!$A$1:$G$49,MATCH(orders!$D445,products!$A$1:$A$49,0),MATCH(orders!L$1,products!$A$1:$G$1,0))</f>
        <v>4.4550000000000001</v>
      </c>
      <c r="M445" s="10">
        <f t="shared" si="18"/>
        <v>22.274999999999999</v>
      </c>
      <c r="N445" t="str">
        <f t="shared" si="19"/>
        <v>Excelsa</v>
      </c>
      <c r="O445" t="str">
        <f t="shared" si="20"/>
        <v>Light</v>
      </c>
      <c r="P445" t="str">
        <f>_xlfn.XLOOKUP(Table1[[#This Row],[Customer ID]],customers!$A$1:$A$1001,customers!$I$1:$I$1001,,0)</f>
        <v>Yes</v>
      </c>
    </row>
    <row r="446" spans="1:16" x14ac:dyDescent="0.25">
      <c r="A446" s="2" t="s">
        <v>2992</v>
      </c>
      <c r="B446" s="8">
        <v>44418</v>
      </c>
      <c r="C446" s="2" t="s">
        <v>2993</v>
      </c>
      <c r="D446" t="s">
        <v>6156</v>
      </c>
      <c r="E446" s="2">
        <v>6</v>
      </c>
      <c r="F446" s="2" t="str">
        <f>_xlfn.XLOOKUP(orders!C446,customers!$A$1:$A$1001,customers!$B$1:$B$1001,,0)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9">
        <f>INDEX(products!$A$1:$G$49,MATCH(orders!$D446,products!$A$1:$A$49,0),MATCH(orders!K$1,products!$A$1:$G$1,0))</f>
        <v>0.2</v>
      </c>
      <c r="L446" s="10">
        <f>INDEX(products!$A$1:$G$49,MATCH(orders!$D446,products!$A$1:$A$49,0),MATCH(orders!L$1,products!$A$1:$G$1,0))</f>
        <v>4.125</v>
      </c>
      <c r="M446" s="10">
        <f t="shared" si="18"/>
        <v>24.75</v>
      </c>
      <c r="N446" t="str">
        <f t="shared" si="19"/>
        <v>Excelsa</v>
      </c>
      <c r="O446" t="str">
        <f t="shared" si="20"/>
        <v>Medium</v>
      </c>
      <c r="P446" t="str">
        <f>_xlfn.XLOOKUP(Table1[[#This Row],[Customer ID]],customers!$A$1:$A$1001,customers!$I$1:$I$1001,,0)</f>
        <v>No</v>
      </c>
    </row>
    <row r="447" spans="1:16" x14ac:dyDescent="0.25">
      <c r="A447" s="2" t="s">
        <v>2999</v>
      </c>
      <c r="B447" s="8">
        <v>43784</v>
      </c>
      <c r="C447" s="2" t="s">
        <v>3000</v>
      </c>
      <c r="D447" t="s">
        <v>6181</v>
      </c>
      <c r="E447" s="2">
        <v>2</v>
      </c>
      <c r="F447" s="2" t="str">
        <f>_xlfn.XLOOKUP(orders!C447,customers!$A$1:$A$1001,customers!$B$1:$B$1001,,0)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9">
        <f>INDEX(products!$A$1:$G$49,MATCH(orders!$D447,products!$A$1:$A$49,0),MATCH(orders!K$1,products!$A$1:$G$1,0))</f>
        <v>2.5</v>
      </c>
      <c r="L447" s="10">
        <f>INDEX(products!$A$1:$G$49,MATCH(orders!$D447,products!$A$1:$A$49,0),MATCH(orders!L$1,products!$A$1:$G$1,0))</f>
        <v>33.464999999999996</v>
      </c>
      <c r="M447" s="10">
        <f t="shared" si="18"/>
        <v>66.929999999999993</v>
      </c>
      <c r="N447" t="str">
        <f t="shared" si="19"/>
        <v>Liberica</v>
      </c>
      <c r="O447" t="str">
        <f t="shared" si="20"/>
        <v>Medium</v>
      </c>
      <c r="P447" t="str">
        <f>_xlfn.XLOOKUP(Table1[[#This Row],[Customer ID]],customers!$A$1:$A$1001,customers!$I$1:$I$1001,,0)</f>
        <v>Yes</v>
      </c>
    </row>
    <row r="448" spans="1:16" x14ac:dyDescent="0.25">
      <c r="A448" s="2" t="s">
        <v>3004</v>
      </c>
      <c r="B448" s="8">
        <v>43816</v>
      </c>
      <c r="C448" s="2" t="s">
        <v>3005</v>
      </c>
      <c r="D448" t="s">
        <v>6160</v>
      </c>
      <c r="E448" s="2">
        <v>1</v>
      </c>
      <c r="F448" s="2" t="str">
        <f>_xlfn.XLOOKUP(orders!C448,customers!$A$1:$A$1001,customers!$B$1:$B$1001,,0)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9">
        <f>INDEX(products!$A$1:$G$49,MATCH(orders!$D448,products!$A$1:$A$49,0),MATCH(orders!K$1,products!$A$1:$G$1,0))</f>
        <v>0.5</v>
      </c>
      <c r="L448" s="10">
        <f>INDEX(products!$A$1:$G$49,MATCH(orders!$D448,products!$A$1:$A$49,0),MATCH(orders!L$1,products!$A$1:$G$1,0))</f>
        <v>8.73</v>
      </c>
      <c r="M448" s="10">
        <f t="shared" si="18"/>
        <v>8.73</v>
      </c>
      <c r="N448" t="str">
        <f t="shared" si="19"/>
        <v>Liberica</v>
      </c>
      <c r="O448" t="str">
        <f t="shared" si="20"/>
        <v>Medium</v>
      </c>
      <c r="P448" t="str">
        <f>_xlfn.XLOOKUP(Table1[[#This Row],[Customer ID]],customers!$A$1:$A$1001,customers!$I$1:$I$1001,,0)</f>
        <v>Yes</v>
      </c>
    </row>
    <row r="449" spans="1:16" x14ac:dyDescent="0.25">
      <c r="A449" s="2" t="s">
        <v>3010</v>
      </c>
      <c r="B449" s="8">
        <v>43908</v>
      </c>
      <c r="C449" s="2" t="s">
        <v>3011</v>
      </c>
      <c r="D449" t="s">
        <v>6146</v>
      </c>
      <c r="E449" s="2">
        <v>3</v>
      </c>
      <c r="F449" s="2" t="str">
        <f>_xlfn.XLOOKUP(orders!C449,customers!$A$1:$A$1001,customers!$B$1:$B$1001,,0)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9">
        <f>INDEX(products!$A$1:$G$49,MATCH(orders!$D449,products!$A$1:$A$49,0),MATCH(orders!K$1,products!$A$1:$G$1,0))</f>
        <v>0.5</v>
      </c>
      <c r="L449" s="10">
        <f>INDEX(products!$A$1:$G$49,MATCH(orders!$D449,products!$A$1:$A$49,0),MATCH(orders!L$1,products!$A$1:$G$1,0))</f>
        <v>5.97</v>
      </c>
      <c r="M449" s="10">
        <f t="shared" si="18"/>
        <v>17.91</v>
      </c>
      <c r="N449" t="str">
        <f t="shared" si="19"/>
        <v>Robusta</v>
      </c>
      <c r="O449" t="str">
        <f t="shared" si="20"/>
        <v>Medium</v>
      </c>
      <c r="P449" t="str">
        <f>_xlfn.XLOOKUP(Table1[[#This Row],[Customer ID]],customers!$A$1:$A$1001,customers!$I$1:$I$1001,,0)</f>
        <v>No</v>
      </c>
    </row>
    <row r="450" spans="1:16" x14ac:dyDescent="0.25">
      <c r="A450" s="2" t="s">
        <v>3015</v>
      </c>
      <c r="B450" s="8">
        <v>44718</v>
      </c>
      <c r="C450" s="2" t="s">
        <v>3016</v>
      </c>
      <c r="D450" t="s">
        <v>6173</v>
      </c>
      <c r="E450" s="2">
        <v>1</v>
      </c>
      <c r="F450" s="2" t="str">
        <f>_xlfn.XLOOKUP(orders!C450,customers!$A$1:$A$1001,customers!$B$1:$B$1001,,0)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9">
        <f>INDEX(products!$A$1:$G$49,MATCH(orders!$D450,products!$A$1:$A$49,0),MATCH(orders!K$1,products!$A$1:$G$1,0))</f>
        <v>0.5</v>
      </c>
      <c r="L450" s="10">
        <f>INDEX(products!$A$1:$G$49,MATCH(orders!$D450,products!$A$1:$A$49,0),MATCH(orders!L$1,products!$A$1:$G$1,0))</f>
        <v>7.169999999999999</v>
      </c>
      <c r="M450" s="10">
        <f t="shared" si="18"/>
        <v>7.169999999999999</v>
      </c>
      <c r="N450" t="str">
        <f t="shared" si="19"/>
        <v>Robusta</v>
      </c>
      <c r="O450" t="str">
        <f t="shared" si="20"/>
        <v>Light</v>
      </c>
      <c r="P450" t="str">
        <f>_xlfn.XLOOKUP(Table1[[#This Row],[Customer ID]],customers!$A$1:$A$1001,customers!$I$1:$I$1001,,0)</f>
        <v>No</v>
      </c>
    </row>
    <row r="451" spans="1:16" x14ac:dyDescent="0.25">
      <c r="A451" s="2" t="s">
        <v>3021</v>
      </c>
      <c r="B451" s="8">
        <v>44336</v>
      </c>
      <c r="C451" s="2" t="s">
        <v>3022</v>
      </c>
      <c r="D451" t="s">
        <v>6163</v>
      </c>
      <c r="E451" s="2">
        <v>2</v>
      </c>
      <c r="F451" s="2" t="str">
        <f>_xlfn.XLOOKUP(orders!C451,customers!$A$1:$A$1001,customers!$B$1:$B$1001,,0)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9">
        <f>INDEX(products!$A$1:$G$49,MATCH(orders!$D451,products!$A$1:$A$49,0),MATCH(orders!K$1,products!$A$1:$G$1,0))</f>
        <v>0.2</v>
      </c>
      <c r="L451" s="10">
        <f>INDEX(products!$A$1:$G$49,MATCH(orders!$D451,products!$A$1:$A$49,0),MATCH(orders!L$1,products!$A$1:$G$1,0))</f>
        <v>2.6849999999999996</v>
      </c>
      <c r="M451" s="10">
        <f t="shared" ref="M451:M514" si="21">L451*E451</f>
        <v>5.3699999999999992</v>
      </c>
      <c r="N451" t="str">
        <f t="shared" ref="N451:N514" si="22">IF(I451="Rob", "Robusta", IF(I451="Exc","Excelsa", IF(I451="Ara","Arabica", IF(I451="Lib","Liberica",""))))</f>
        <v>Robusta</v>
      </c>
      <c r="O451" t="str">
        <f t="shared" ref="O451:O514" si="23">IF(J451="M", "Medium", IF(J451="L","Light",IF(J451="D","Dark","")))</f>
        <v>Dark</v>
      </c>
      <c r="P451" t="str">
        <f>_xlfn.XLOOKUP(Table1[[#This Row],[Customer ID]],customers!$A$1:$A$1001,customers!$I$1:$I$1001,,0)</f>
        <v>No</v>
      </c>
    </row>
    <row r="452" spans="1:16" x14ac:dyDescent="0.25">
      <c r="A452" s="2" t="s">
        <v>3027</v>
      </c>
      <c r="B452" s="8">
        <v>44207</v>
      </c>
      <c r="C452" s="2" t="s">
        <v>3028</v>
      </c>
      <c r="D452" t="s">
        <v>6145</v>
      </c>
      <c r="E452" s="2">
        <v>5</v>
      </c>
      <c r="F452" s="2" t="str">
        <f>_xlfn.XLOOKUP(orders!C452,customers!$A$1:$A$1001,customers!$B$1:$B$1001,,0)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9">
        <f>INDEX(products!$A$1:$G$49,MATCH(orders!$D452,products!$A$1:$A$49,0),MATCH(orders!K$1,products!$A$1:$G$1,0))</f>
        <v>0.2</v>
      </c>
      <c r="L452" s="10">
        <f>INDEX(products!$A$1:$G$49,MATCH(orders!$D452,products!$A$1:$A$49,0),MATCH(orders!L$1,products!$A$1:$G$1,0))</f>
        <v>4.7549999999999999</v>
      </c>
      <c r="M452" s="10">
        <f t="shared" si="21"/>
        <v>23.774999999999999</v>
      </c>
      <c r="N452" t="str">
        <f t="shared" si="22"/>
        <v>Liberica</v>
      </c>
      <c r="O452" t="str">
        <f t="shared" si="23"/>
        <v>Light</v>
      </c>
      <c r="P452" t="str">
        <f>_xlfn.XLOOKUP(Table1[[#This Row],[Customer ID]],customers!$A$1:$A$1001,customers!$I$1:$I$1001,,0)</f>
        <v>No</v>
      </c>
    </row>
    <row r="453" spans="1:16" x14ac:dyDescent="0.25">
      <c r="A453" s="2" t="s">
        <v>3035</v>
      </c>
      <c r="B453" s="8">
        <v>43518</v>
      </c>
      <c r="C453" s="2" t="s">
        <v>3036</v>
      </c>
      <c r="D453" t="s">
        <v>6149</v>
      </c>
      <c r="E453" s="2">
        <v>2</v>
      </c>
      <c r="F453" s="2" t="str">
        <f>_xlfn.XLOOKUP(orders!C453,customers!$A$1:$A$1001,customers!$B$1:$B$1001,,0)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9">
        <f>INDEX(products!$A$1:$G$49,MATCH(orders!$D453,products!$A$1:$A$49,0),MATCH(orders!K$1,products!$A$1:$G$1,0))</f>
        <v>2.5</v>
      </c>
      <c r="L453" s="10">
        <f>INDEX(products!$A$1:$G$49,MATCH(orders!$D453,products!$A$1:$A$49,0),MATCH(orders!L$1,products!$A$1:$G$1,0))</f>
        <v>20.584999999999997</v>
      </c>
      <c r="M453" s="10">
        <f t="shared" si="21"/>
        <v>41.169999999999995</v>
      </c>
      <c r="N453" t="str">
        <f t="shared" si="22"/>
        <v>Robusta</v>
      </c>
      <c r="O453" t="str">
        <f t="shared" si="23"/>
        <v>Dark</v>
      </c>
      <c r="P453" t="str">
        <f>_xlfn.XLOOKUP(Table1[[#This Row],[Customer ID]],customers!$A$1:$A$1001,customers!$I$1:$I$1001,,0)</f>
        <v>Yes</v>
      </c>
    </row>
    <row r="454" spans="1:16" x14ac:dyDescent="0.25">
      <c r="A454" s="2" t="s">
        <v>3041</v>
      </c>
      <c r="B454" s="8">
        <v>44524</v>
      </c>
      <c r="C454" s="2" t="s">
        <v>3042</v>
      </c>
      <c r="D454" t="s">
        <v>6167</v>
      </c>
      <c r="E454" s="2">
        <v>3</v>
      </c>
      <c r="F454" s="2" t="str">
        <f>_xlfn.XLOOKUP(orders!C454,customers!$A$1:$A$1001,customers!$B$1:$B$1001,,0)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9">
        <f>INDEX(products!$A$1:$G$49,MATCH(orders!$D454,products!$A$1:$A$49,0),MATCH(orders!K$1,products!$A$1:$G$1,0))</f>
        <v>0.2</v>
      </c>
      <c r="L454" s="10">
        <f>INDEX(products!$A$1:$G$49,MATCH(orders!$D454,products!$A$1:$A$49,0),MATCH(orders!L$1,products!$A$1:$G$1,0))</f>
        <v>3.8849999999999998</v>
      </c>
      <c r="M454" s="10">
        <f t="shared" si="21"/>
        <v>11.654999999999999</v>
      </c>
      <c r="N454" t="str">
        <f t="shared" si="22"/>
        <v>Arabica</v>
      </c>
      <c r="O454" t="str">
        <f t="shared" si="23"/>
        <v>Light</v>
      </c>
      <c r="P454" t="str">
        <f>_xlfn.XLOOKUP(Table1[[#This Row],[Customer ID]],customers!$A$1:$A$1001,customers!$I$1:$I$1001,,0)</f>
        <v>No</v>
      </c>
    </row>
    <row r="455" spans="1:16" x14ac:dyDescent="0.25">
      <c r="A455" s="2" t="s">
        <v>3047</v>
      </c>
      <c r="B455" s="8">
        <v>44579</v>
      </c>
      <c r="C455" s="2" t="s">
        <v>3048</v>
      </c>
      <c r="D455" t="s">
        <v>6161</v>
      </c>
      <c r="E455" s="2">
        <v>4</v>
      </c>
      <c r="F455" s="2" t="str">
        <f>_xlfn.XLOOKUP(orders!C455,customers!$A$1:$A$1001,customers!$B$1:$B$1001,,0)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9">
        <f>INDEX(products!$A$1:$G$49,MATCH(orders!$D455,products!$A$1:$A$49,0),MATCH(orders!K$1,products!$A$1:$G$1,0))</f>
        <v>0.5</v>
      </c>
      <c r="L455" s="10">
        <f>INDEX(products!$A$1:$G$49,MATCH(orders!$D455,products!$A$1:$A$49,0),MATCH(orders!L$1,products!$A$1:$G$1,0))</f>
        <v>9.51</v>
      </c>
      <c r="M455" s="10">
        <f t="shared" si="21"/>
        <v>38.04</v>
      </c>
      <c r="N455" t="str">
        <f t="shared" si="22"/>
        <v>Liberica</v>
      </c>
      <c r="O455" t="str">
        <f t="shared" si="23"/>
        <v>Light</v>
      </c>
      <c r="P455" t="str">
        <f>_xlfn.XLOOKUP(Table1[[#This Row],[Customer ID]],customers!$A$1:$A$1001,customers!$I$1:$I$1001,,0)</f>
        <v>No</v>
      </c>
    </row>
    <row r="456" spans="1:16" x14ac:dyDescent="0.25">
      <c r="A456" s="2" t="s">
        <v>3053</v>
      </c>
      <c r="B456" s="8">
        <v>44421</v>
      </c>
      <c r="C456" s="2" t="s">
        <v>3054</v>
      </c>
      <c r="D456" t="s">
        <v>6149</v>
      </c>
      <c r="E456" s="2">
        <v>4</v>
      </c>
      <c r="F456" s="2" t="str">
        <f>_xlfn.XLOOKUP(orders!C456,customers!$A$1:$A$1001,customers!$B$1:$B$1001,,0)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9">
        <f>INDEX(products!$A$1:$G$49,MATCH(orders!$D456,products!$A$1:$A$49,0),MATCH(orders!K$1,products!$A$1:$G$1,0))</f>
        <v>2.5</v>
      </c>
      <c r="L456" s="10">
        <f>INDEX(products!$A$1:$G$49,MATCH(orders!$D456,products!$A$1:$A$49,0),MATCH(orders!L$1,products!$A$1:$G$1,0))</f>
        <v>20.584999999999997</v>
      </c>
      <c r="M456" s="10">
        <f t="shared" si="21"/>
        <v>82.339999999999989</v>
      </c>
      <c r="N456" t="str">
        <f t="shared" si="22"/>
        <v>Robusta</v>
      </c>
      <c r="O456" t="str">
        <f t="shared" si="23"/>
        <v>Dark</v>
      </c>
      <c r="P456" t="str">
        <f>_xlfn.XLOOKUP(Table1[[#This Row],[Customer ID]],customers!$A$1:$A$1001,customers!$I$1:$I$1001,,0)</f>
        <v>Yes</v>
      </c>
    </row>
    <row r="457" spans="1:16" x14ac:dyDescent="0.25">
      <c r="A457" s="2" t="s">
        <v>3058</v>
      </c>
      <c r="B457" s="8">
        <v>43841</v>
      </c>
      <c r="C457" s="2" t="s">
        <v>3059</v>
      </c>
      <c r="D457" t="s">
        <v>6145</v>
      </c>
      <c r="E457" s="2">
        <v>2</v>
      </c>
      <c r="F457" s="2" t="str">
        <f>_xlfn.XLOOKUP(orders!C457,customers!$A$1:$A$1001,customers!$B$1:$B$1001,,0)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9">
        <f>INDEX(products!$A$1:$G$49,MATCH(orders!$D457,products!$A$1:$A$49,0),MATCH(orders!K$1,products!$A$1:$G$1,0))</f>
        <v>0.2</v>
      </c>
      <c r="L457" s="10">
        <f>INDEX(products!$A$1:$G$49,MATCH(orders!$D457,products!$A$1:$A$49,0),MATCH(orders!L$1,products!$A$1:$G$1,0))</f>
        <v>4.7549999999999999</v>
      </c>
      <c r="M457" s="10">
        <f t="shared" si="21"/>
        <v>9.51</v>
      </c>
      <c r="N457" t="str">
        <f t="shared" si="22"/>
        <v>Liberica</v>
      </c>
      <c r="O457" t="str">
        <f t="shared" si="23"/>
        <v>Light</v>
      </c>
      <c r="P457" t="str">
        <f>_xlfn.XLOOKUP(Table1[[#This Row],[Customer ID]],customers!$A$1:$A$1001,customers!$I$1:$I$1001,,0)</f>
        <v>Yes</v>
      </c>
    </row>
    <row r="458" spans="1:16" x14ac:dyDescent="0.25">
      <c r="A458" s="2" t="s">
        <v>3064</v>
      </c>
      <c r="B458" s="8">
        <v>44017</v>
      </c>
      <c r="C458" s="2" t="s">
        <v>3065</v>
      </c>
      <c r="D458" t="s">
        <v>6149</v>
      </c>
      <c r="E458" s="2">
        <v>2</v>
      </c>
      <c r="F458" s="2" t="str">
        <f>_xlfn.XLOOKUP(orders!C458,customers!$A$1:$A$1001,customers!$B$1:$B$1001,,0)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9">
        <f>INDEX(products!$A$1:$G$49,MATCH(orders!$D458,products!$A$1:$A$49,0),MATCH(orders!K$1,products!$A$1:$G$1,0))</f>
        <v>2.5</v>
      </c>
      <c r="L458" s="10">
        <f>INDEX(products!$A$1:$G$49,MATCH(orders!$D458,products!$A$1:$A$49,0),MATCH(orders!L$1,products!$A$1:$G$1,0))</f>
        <v>20.584999999999997</v>
      </c>
      <c r="M458" s="10">
        <f t="shared" si="21"/>
        <v>41.169999999999995</v>
      </c>
      <c r="N458" t="str">
        <f t="shared" si="22"/>
        <v>Robusta</v>
      </c>
      <c r="O458" t="str">
        <f t="shared" si="23"/>
        <v>Dark</v>
      </c>
      <c r="P458" t="str">
        <f>_xlfn.XLOOKUP(Table1[[#This Row],[Customer ID]],customers!$A$1:$A$1001,customers!$I$1:$I$1001,,0)</f>
        <v>No</v>
      </c>
    </row>
    <row r="459" spans="1:16" x14ac:dyDescent="0.25">
      <c r="A459" s="2" t="s">
        <v>3070</v>
      </c>
      <c r="B459" s="8">
        <v>43671</v>
      </c>
      <c r="C459" s="2" t="s">
        <v>3071</v>
      </c>
      <c r="D459" t="s">
        <v>6161</v>
      </c>
      <c r="E459" s="2">
        <v>5</v>
      </c>
      <c r="F459" s="2" t="str">
        <f>_xlfn.XLOOKUP(orders!C459,customers!$A$1:$A$1001,customers!$B$1:$B$1001,,0)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9">
        <f>INDEX(products!$A$1:$G$49,MATCH(orders!$D459,products!$A$1:$A$49,0),MATCH(orders!K$1,products!$A$1:$G$1,0))</f>
        <v>0.5</v>
      </c>
      <c r="L459" s="10">
        <f>INDEX(products!$A$1:$G$49,MATCH(orders!$D459,products!$A$1:$A$49,0),MATCH(orders!L$1,products!$A$1:$G$1,0))</f>
        <v>9.51</v>
      </c>
      <c r="M459" s="10">
        <f t="shared" si="21"/>
        <v>47.55</v>
      </c>
      <c r="N459" t="str">
        <f t="shared" si="22"/>
        <v>Liberica</v>
      </c>
      <c r="O459" t="str">
        <f t="shared" si="23"/>
        <v>Light</v>
      </c>
      <c r="P459" t="str">
        <f>_xlfn.XLOOKUP(Table1[[#This Row],[Customer ID]],customers!$A$1:$A$1001,customers!$I$1:$I$1001,,0)</f>
        <v>No</v>
      </c>
    </row>
    <row r="460" spans="1:16" x14ac:dyDescent="0.25">
      <c r="A460" s="2" t="s">
        <v>3076</v>
      </c>
      <c r="B460" s="8">
        <v>44707</v>
      </c>
      <c r="C460" s="2" t="s">
        <v>3077</v>
      </c>
      <c r="D460" t="s">
        <v>6155</v>
      </c>
      <c r="E460" s="2">
        <v>4</v>
      </c>
      <c r="F460" s="2" t="str">
        <f>_xlfn.XLOOKUP(orders!C460,customers!$A$1:$A$1001,customers!$B$1:$B$1001,,0)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9">
        <f>INDEX(products!$A$1:$G$49,MATCH(orders!$D460,products!$A$1:$A$49,0),MATCH(orders!K$1,products!$A$1:$G$1,0))</f>
        <v>1</v>
      </c>
      <c r="L460" s="10">
        <f>INDEX(products!$A$1:$G$49,MATCH(orders!$D460,products!$A$1:$A$49,0),MATCH(orders!L$1,products!$A$1:$G$1,0))</f>
        <v>11.25</v>
      </c>
      <c r="M460" s="10">
        <f t="shared" si="21"/>
        <v>45</v>
      </c>
      <c r="N460" t="str">
        <f t="shared" si="22"/>
        <v>Arabica</v>
      </c>
      <c r="O460" t="str">
        <f t="shared" si="23"/>
        <v>Medium</v>
      </c>
      <c r="P460" t="str">
        <f>_xlfn.XLOOKUP(Table1[[#This Row],[Customer ID]],customers!$A$1:$A$1001,customers!$I$1:$I$1001,,0)</f>
        <v>No</v>
      </c>
    </row>
    <row r="461" spans="1:16" x14ac:dyDescent="0.25">
      <c r="A461" s="2" t="s">
        <v>3082</v>
      </c>
      <c r="B461" s="8">
        <v>43840</v>
      </c>
      <c r="C461" s="2" t="s">
        <v>3083</v>
      </c>
      <c r="D461" t="s">
        <v>6145</v>
      </c>
      <c r="E461" s="2">
        <v>5</v>
      </c>
      <c r="F461" s="2" t="str">
        <f>_xlfn.XLOOKUP(orders!C461,customers!$A$1:$A$1001,customers!$B$1:$B$1001,,0)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9">
        <f>INDEX(products!$A$1:$G$49,MATCH(orders!$D461,products!$A$1:$A$49,0),MATCH(orders!K$1,products!$A$1:$G$1,0))</f>
        <v>0.2</v>
      </c>
      <c r="L461" s="10">
        <f>INDEX(products!$A$1:$G$49,MATCH(orders!$D461,products!$A$1:$A$49,0),MATCH(orders!L$1,products!$A$1:$G$1,0))</f>
        <v>4.7549999999999999</v>
      </c>
      <c r="M461" s="10">
        <f t="shared" si="21"/>
        <v>23.774999999999999</v>
      </c>
      <c r="N461" t="str">
        <f t="shared" si="22"/>
        <v>Liberica</v>
      </c>
      <c r="O461" t="str">
        <f t="shared" si="23"/>
        <v>Light</v>
      </c>
      <c r="P461" t="str">
        <f>_xlfn.XLOOKUP(Table1[[#This Row],[Customer ID]],customers!$A$1:$A$1001,customers!$I$1:$I$1001,,0)</f>
        <v>No</v>
      </c>
    </row>
    <row r="462" spans="1:16" x14ac:dyDescent="0.25">
      <c r="A462" s="2" t="s">
        <v>3088</v>
      </c>
      <c r="B462" s="8">
        <v>43602</v>
      </c>
      <c r="C462" s="2" t="s">
        <v>3089</v>
      </c>
      <c r="D462" t="s">
        <v>6172</v>
      </c>
      <c r="E462" s="2">
        <v>3</v>
      </c>
      <c r="F462" s="2" t="str">
        <f>_xlfn.XLOOKUP(orders!C462,customers!$A$1:$A$1001,customers!$B$1:$B$1001,,0)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9">
        <f>INDEX(products!$A$1:$G$49,MATCH(orders!$D462,products!$A$1:$A$49,0),MATCH(orders!K$1,products!$A$1:$G$1,0))</f>
        <v>0.5</v>
      </c>
      <c r="L462" s="10">
        <f>INDEX(products!$A$1:$G$49,MATCH(orders!$D462,products!$A$1:$A$49,0),MATCH(orders!L$1,products!$A$1:$G$1,0))</f>
        <v>5.3699999999999992</v>
      </c>
      <c r="M462" s="10">
        <f t="shared" si="21"/>
        <v>16.11</v>
      </c>
      <c r="N462" t="str">
        <f t="shared" si="22"/>
        <v>Robusta</v>
      </c>
      <c r="O462" t="str">
        <f t="shared" si="23"/>
        <v>Dark</v>
      </c>
      <c r="P462" t="str">
        <f>_xlfn.XLOOKUP(Table1[[#This Row],[Customer ID]],customers!$A$1:$A$1001,customers!$I$1:$I$1001,,0)</f>
        <v>Yes</v>
      </c>
    </row>
    <row r="463" spans="1:16" x14ac:dyDescent="0.25">
      <c r="A463" s="2" t="s">
        <v>3094</v>
      </c>
      <c r="B463" s="8">
        <v>44036</v>
      </c>
      <c r="C463" s="2" t="s">
        <v>3095</v>
      </c>
      <c r="D463" t="s">
        <v>6163</v>
      </c>
      <c r="E463" s="2">
        <v>4</v>
      </c>
      <c r="F463" s="2" t="str">
        <f>_xlfn.XLOOKUP(orders!C463,customers!$A$1:$A$1001,customers!$B$1:$B$1001,,0)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9">
        <f>INDEX(products!$A$1:$G$49,MATCH(orders!$D463,products!$A$1:$A$49,0),MATCH(orders!K$1,products!$A$1:$G$1,0))</f>
        <v>0.2</v>
      </c>
      <c r="L463" s="10">
        <f>INDEX(products!$A$1:$G$49,MATCH(orders!$D463,products!$A$1:$A$49,0),MATCH(orders!L$1,products!$A$1:$G$1,0))</f>
        <v>2.6849999999999996</v>
      </c>
      <c r="M463" s="10">
        <f t="shared" si="21"/>
        <v>10.739999999999998</v>
      </c>
      <c r="N463" t="str">
        <f t="shared" si="22"/>
        <v>Robusta</v>
      </c>
      <c r="O463" t="str">
        <f t="shared" si="23"/>
        <v>Dark</v>
      </c>
      <c r="P463" t="str">
        <f>_xlfn.XLOOKUP(Table1[[#This Row],[Customer ID]],customers!$A$1:$A$1001,customers!$I$1:$I$1001,,0)</f>
        <v>Yes</v>
      </c>
    </row>
    <row r="464" spans="1:16" x14ac:dyDescent="0.25">
      <c r="A464" s="2" t="s">
        <v>3100</v>
      </c>
      <c r="B464" s="8">
        <v>44124</v>
      </c>
      <c r="C464" s="2" t="s">
        <v>3101</v>
      </c>
      <c r="D464" t="s">
        <v>6147</v>
      </c>
      <c r="E464" s="2">
        <v>5</v>
      </c>
      <c r="F464" s="2" t="str">
        <f>_xlfn.XLOOKUP(orders!C464,customers!$A$1:$A$1001,customers!$B$1:$B$1001,,0)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9">
        <f>INDEX(products!$A$1:$G$49,MATCH(orders!$D464,products!$A$1:$A$49,0),MATCH(orders!K$1,products!$A$1:$G$1,0))</f>
        <v>1</v>
      </c>
      <c r="L464" s="10">
        <f>INDEX(products!$A$1:$G$49,MATCH(orders!$D464,products!$A$1:$A$49,0),MATCH(orders!L$1,products!$A$1:$G$1,0))</f>
        <v>9.9499999999999993</v>
      </c>
      <c r="M464" s="10">
        <f t="shared" si="21"/>
        <v>49.75</v>
      </c>
      <c r="N464" t="str">
        <f t="shared" si="22"/>
        <v>Arabica</v>
      </c>
      <c r="O464" t="str">
        <f t="shared" si="23"/>
        <v>Dark</v>
      </c>
      <c r="P464" t="str">
        <f>_xlfn.XLOOKUP(Table1[[#This Row],[Customer ID]],customers!$A$1:$A$1001,customers!$I$1:$I$1001,,0)</f>
        <v>Yes</v>
      </c>
    </row>
    <row r="465" spans="1:16" x14ac:dyDescent="0.25">
      <c r="A465" s="2" t="s">
        <v>3106</v>
      </c>
      <c r="B465" s="8">
        <v>43730</v>
      </c>
      <c r="C465" s="2" t="s">
        <v>3107</v>
      </c>
      <c r="D465" t="s">
        <v>6141</v>
      </c>
      <c r="E465" s="2">
        <v>2</v>
      </c>
      <c r="F465" s="2" t="str">
        <f>_xlfn.XLOOKUP(orders!C465,customers!$A$1:$A$1001,customers!$B$1:$B$1001,,0)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9">
        <f>INDEX(products!$A$1:$G$49,MATCH(orders!$D465,products!$A$1:$A$49,0),MATCH(orders!K$1,products!$A$1:$G$1,0))</f>
        <v>1</v>
      </c>
      <c r="L465" s="10">
        <f>INDEX(products!$A$1:$G$49,MATCH(orders!$D465,products!$A$1:$A$49,0),MATCH(orders!L$1,products!$A$1:$G$1,0))</f>
        <v>13.75</v>
      </c>
      <c r="M465" s="10">
        <f t="shared" si="21"/>
        <v>27.5</v>
      </c>
      <c r="N465" t="str">
        <f t="shared" si="22"/>
        <v>Excelsa</v>
      </c>
      <c r="O465" t="str">
        <f t="shared" si="23"/>
        <v>Medium</v>
      </c>
      <c r="P465" t="str">
        <f>_xlfn.XLOOKUP(Table1[[#This Row],[Customer ID]],customers!$A$1:$A$1001,customers!$I$1:$I$1001,,0)</f>
        <v>No</v>
      </c>
    </row>
    <row r="466" spans="1:16" x14ac:dyDescent="0.25">
      <c r="A466" s="2" t="s">
        <v>3112</v>
      </c>
      <c r="B466" s="8">
        <v>43989</v>
      </c>
      <c r="C466" s="2" t="s">
        <v>3113</v>
      </c>
      <c r="D466" t="s">
        <v>6165</v>
      </c>
      <c r="E466" s="2">
        <v>4</v>
      </c>
      <c r="F466" s="2" t="str">
        <f>_xlfn.XLOOKUP(orders!C466,customers!$A$1:$A$1001,customers!$B$1:$B$1001,,0)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9">
        <f>INDEX(products!$A$1:$G$49,MATCH(orders!$D466,products!$A$1:$A$49,0),MATCH(orders!K$1,products!$A$1:$G$1,0))</f>
        <v>2.5</v>
      </c>
      <c r="L466" s="10">
        <f>INDEX(products!$A$1:$G$49,MATCH(orders!$D466,products!$A$1:$A$49,0),MATCH(orders!L$1,products!$A$1:$G$1,0))</f>
        <v>29.784999999999997</v>
      </c>
      <c r="M466" s="10">
        <f t="shared" si="21"/>
        <v>119.13999999999999</v>
      </c>
      <c r="N466" t="str">
        <f t="shared" si="22"/>
        <v>Liberica</v>
      </c>
      <c r="O466" t="str">
        <f t="shared" si="23"/>
        <v>Dark</v>
      </c>
      <c r="P466" t="str">
        <f>_xlfn.XLOOKUP(Table1[[#This Row],[Customer ID]],customers!$A$1:$A$1001,customers!$I$1:$I$1001,,0)</f>
        <v>No</v>
      </c>
    </row>
    <row r="467" spans="1:16" x14ac:dyDescent="0.25">
      <c r="A467" s="2" t="s">
        <v>3118</v>
      </c>
      <c r="B467" s="8">
        <v>43814</v>
      </c>
      <c r="C467" s="2" t="s">
        <v>3119</v>
      </c>
      <c r="D467" t="s">
        <v>6149</v>
      </c>
      <c r="E467" s="2">
        <v>1</v>
      </c>
      <c r="F467" s="2" t="str">
        <f>_xlfn.XLOOKUP(orders!C467,customers!$A$1:$A$1001,customers!$B$1:$B$1001,,0)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9">
        <f>INDEX(products!$A$1:$G$49,MATCH(orders!$D467,products!$A$1:$A$49,0),MATCH(orders!K$1,products!$A$1:$G$1,0))</f>
        <v>2.5</v>
      </c>
      <c r="L467" s="10">
        <f>INDEX(products!$A$1:$G$49,MATCH(orders!$D467,products!$A$1:$A$49,0),MATCH(orders!L$1,products!$A$1:$G$1,0))</f>
        <v>20.584999999999997</v>
      </c>
      <c r="M467" s="10">
        <f t="shared" si="21"/>
        <v>20.584999999999997</v>
      </c>
      <c r="N467" t="str">
        <f t="shared" si="22"/>
        <v>Robusta</v>
      </c>
      <c r="O467" t="str">
        <f t="shared" si="23"/>
        <v>Dark</v>
      </c>
      <c r="P467" t="str">
        <f>_xlfn.XLOOKUP(Table1[[#This Row],[Customer ID]],customers!$A$1:$A$1001,customers!$I$1:$I$1001,,0)</f>
        <v>Yes</v>
      </c>
    </row>
    <row r="468" spans="1:16" x14ac:dyDescent="0.25">
      <c r="A468" s="2" t="s">
        <v>3124</v>
      </c>
      <c r="B468" s="8">
        <v>44171</v>
      </c>
      <c r="C468" s="2" t="s">
        <v>3125</v>
      </c>
      <c r="D468" t="s">
        <v>6154</v>
      </c>
      <c r="E468" s="2">
        <v>3</v>
      </c>
      <c r="F468" s="2" t="str">
        <f>_xlfn.XLOOKUP(orders!C468,customers!$A$1:$A$1001,customers!$B$1:$B$1001,,0)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9">
        <f>INDEX(products!$A$1:$G$49,MATCH(orders!$D468,products!$A$1:$A$49,0),MATCH(orders!K$1,products!$A$1:$G$1,0))</f>
        <v>0.2</v>
      </c>
      <c r="L468" s="10">
        <f>INDEX(products!$A$1:$G$49,MATCH(orders!$D468,products!$A$1:$A$49,0),MATCH(orders!L$1,products!$A$1:$G$1,0))</f>
        <v>2.9849999999999999</v>
      </c>
      <c r="M468" s="10">
        <f t="shared" si="21"/>
        <v>8.9550000000000001</v>
      </c>
      <c r="N468" t="str">
        <f t="shared" si="22"/>
        <v>Arabica</v>
      </c>
      <c r="O468" t="str">
        <f t="shared" si="23"/>
        <v>Dark</v>
      </c>
      <c r="P468" t="str">
        <f>_xlfn.XLOOKUP(Table1[[#This Row],[Customer ID]],customers!$A$1:$A$1001,customers!$I$1:$I$1001,,0)</f>
        <v>Yes</v>
      </c>
    </row>
    <row r="469" spans="1:16" x14ac:dyDescent="0.25">
      <c r="A469" s="2" t="s">
        <v>3130</v>
      </c>
      <c r="B469" s="8">
        <v>44536</v>
      </c>
      <c r="C469" s="2" t="s">
        <v>3131</v>
      </c>
      <c r="D469" t="s">
        <v>6158</v>
      </c>
      <c r="E469" s="2">
        <v>1</v>
      </c>
      <c r="F469" s="2" t="str">
        <f>_xlfn.XLOOKUP(orders!C469,customers!$A$1:$A$1001,customers!$B$1:$B$1001,,0)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9">
        <f>INDEX(products!$A$1:$G$49,MATCH(orders!$D469,products!$A$1:$A$49,0),MATCH(orders!K$1,products!$A$1:$G$1,0))</f>
        <v>0.5</v>
      </c>
      <c r="L469" s="10">
        <f>INDEX(products!$A$1:$G$49,MATCH(orders!$D469,products!$A$1:$A$49,0),MATCH(orders!L$1,products!$A$1:$G$1,0))</f>
        <v>5.97</v>
      </c>
      <c r="M469" s="10">
        <f t="shared" si="21"/>
        <v>5.97</v>
      </c>
      <c r="N469" t="str">
        <f t="shared" si="22"/>
        <v>Arabica</v>
      </c>
      <c r="O469" t="str">
        <f t="shared" si="23"/>
        <v>Dark</v>
      </c>
      <c r="P469" t="str">
        <f>_xlfn.XLOOKUP(Table1[[#This Row],[Customer ID]],customers!$A$1:$A$1001,customers!$I$1:$I$1001,,0)</f>
        <v>No</v>
      </c>
    </row>
    <row r="470" spans="1:16" x14ac:dyDescent="0.25">
      <c r="A470" s="2" t="s">
        <v>3136</v>
      </c>
      <c r="B470" s="8">
        <v>44023</v>
      </c>
      <c r="C470" s="2" t="s">
        <v>3137</v>
      </c>
      <c r="D470" t="s">
        <v>6141</v>
      </c>
      <c r="E470" s="2">
        <v>3</v>
      </c>
      <c r="F470" s="2" t="str">
        <f>_xlfn.XLOOKUP(orders!C470,customers!$A$1:$A$1001,customers!$B$1:$B$1001,,0)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9">
        <f>INDEX(products!$A$1:$G$49,MATCH(orders!$D470,products!$A$1:$A$49,0),MATCH(orders!K$1,products!$A$1:$G$1,0))</f>
        <v>1</v>
      </c>
      <c r="L470" s="10">
        <f>INDEX(products!$A$1:$G$49,MATCH(orders!$D470,products!$A$1:$A$49,0),MATCH(orders!L$1,products!$A$1:$G$1,0))</f>
        <v>13.75</v>
      </c>
      <c r="M470" s="10">
        <f t="shared" si="21"/>
        <v>41.25</v>
      </c>
      <c r="N470" t="str">
        <f t="shared" si="22"/>
        <v>Excelsa</v>
      </c>
      <c r="O470" t="str">
        <f t="shared" si="23"/>
        <v>Medium</v>
      </c>
      <c r="P470" t="str">
        <f>_xlfn.XLOOKUP(Table1[[#This Row],[Customer ID]],customers!$A$1:$A$1001,customers!$I$1:$I$1001,,0)</f>
        <v>Yes</v>
      </c>
    </row>
    <row r="471" spans="1:16" x14ac:dyDescent="0.25">
      <c r="A471" s="2" t="s">
        <v>3141</v>
      </c>
      <c r="B471" s="8">
        <v>44375</v>
      </c>
      <c r="C471" s="2" t="s">
        <v>3194</v>
      </c>
      <c r="D471" t="s">
        <v>6184</v>
      </c>
      <c r="E471" s="2">
        <v>5</v>
      </c>
      <c r="F471" s="2" t="str">
        <f>_xlfn.XLOOKUP(orders!C471,customers!$A$1:$A$1001,customers!$B$1:$B$1001,,0)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9">
        <f>INDEX(products!$A$1:$G$49,MATCH(orders!$D471,products!$A$1:$A$49,0),MATCH(orders!K$1,products!$A$1:$G$1,0))</f>
        <v>0.2</v>
      </c>
      <c r="L471" s="10">
        <f>INDEX(products!$A$1:$G$49,MATCH(orders!$D471,products!$A$1:$A$49,0),MATCH(orders!L$1,products!$A$1:$G$1,0))</f>
        <v>4.4550000000000001</v>
      </c>
      <c r="M471" s="10">
        <f t="shared" si="21"/>
        <v>22.274999999999999</v>
      </c>
      <c r="N471" t="str">
        <f t="shared" si="22"/>
        <v>Excelsa</v>
      </c>
      <c r="O471" t="str">
        <f t="shared" si="23"/>
        <v>Light</v>
      </c>
      <c r="P471" t="str">
        <f>_xlfn.XLOOKUP(Table1[[#This Row],[Customer ID]],customers!$A$1:$A$1001,customers!$I$1:$I$1001,,0)</f>
        <v>Yes</v>
      </c>
    </row>
    <row r="472" spans="1:16" x14ac:dyDescent="0.25">
      <c r="A472" s="2" t="s">
        <v>3147</v>
      </c>
      <c r="B472" s="8">
        <v>44656</v>
      </c>
      <c r="C472" s="2" t="s">
        <v>3148</v>
      </c>
      <c r="D472" t="s">
        <v>6157</v>
      </c>
      <c r="E472" s="2">
        <v>1</v>
      </c>
      <c r="F472" s="2" t="str">
        <f>_xlfn.XLOOKUP(orders!C472,customers!$A$1:$A$1001,customers!$B$1:$B$1001,,0)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9">
        <f>INDEX(products!$A$1:$G$49,MATCH(orders!$D472,products!$A$1:$A$49,0),MATCH(orders!K$1,products!$A$1:$G$1,0))</f>
        <v>0.5</v>
      </c>
      <c r="L472" s="10">
        <f>INDEX(products!$A$1:$G$49,MATCH(orders!$D472,products!$A$1:$A$49,0),MATCH(orders!L$1,products!$A$1:$G$1,0))</f>
        <v>6.75</v>
      </c>
      <c r="M472" s="10">
        <f t="shared" si="21"/>
        <v>6.75</v>
      </c>
      <c r="N472" t="str">
        <f t="shared" si="22"/>
        <v>Arabica</v>
      </c>
      <c r="O472" t="str">
        <f t="shared" si="23"/>
        <v>Medium</v>
      </c>
      <c r="P472" t="str">
        <f>_xlfn.XLOOKUP(Table1[[#This Row],[Customer ID]],customers!$A$1:$A$1001,customers!$I$1:$I$1001,,0)</f>
        <v>Yes</v>
      </c>
    </row>
    <row r="473" spans="1:16" x14ac:dyDescent="0.25">
      <c r="A473" s="2" t="s">
        <v>3153</v>
      </c>
      <c r="B473" s="8">
        <v>44644</v>
      </c>
      <c r="C473" s="2" t="s">
        <v>3154</v>
      </c>
      <c r="D473" t="s">
        <v>6181</v>
      </c>
      <c r="E473" s="2">
        <v>4</v>
      </c>
      <c r="F473" s="2" t="str">
        <f>_xlfn.XLOOKUP(orders!C473,customers!$A$1:$A$1001,customers!$B$1:$B$1001,,0)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9">
        <f>INDEX(products!$A$1:$G$49,MATCH(orders!$D473,products!$A$1:$A$49,0),MATCH(orders!K$1,products!$A$1:$G$1,0))</f>
        <v>2.5</v>
      </c>
      <c r="L473" s="10">
        <f>INDEX(products!$A$1:$G$49,MATCH(orders!$D473,products!$A$1:$A$49,0),MATCH(orders!L$1,products!$A$1:$G$1,0))</f>
        <v>33.464999999999996</v>
      </c>
      <c r="M473" s="10">
        <f t="shared" si="21"/>
        <v>133.85999999999999</v>
      </c>
      <c r="N473" t="str">
        <f t="shared" si="22"/>
        <v>Liberica</v>
      </c>
      <c r="O473" t="str">
        <f t="shared" si="23"/>
        <v>Medium</v>
      </c>
      <c r="P473" t="str">
        <f>_xlfn.XLOOKUP(Table1[[#This Row],[Customer ID]],customers!$A$1:$A$1001,customers!$I$1:$I$1001,,0)</f>
        <v>Yes</v>
      </c>
    </row>
    <row r="474" spans="1:16" x14ac:dyDescent="0.25">
      <c r="A474" s="2" t="s">
        <v>3158</v>
      </c>
      <c r="B474" s="8">
        <v>43869</v>
      </c>
      <c r="C474" s="2" t="s">
        <v>3159</v>
      </c>
      <c r="D474" t="s">
        <v>6154</v>
      </c>
      <c r="E474" s="2">
        <v>2</v>
      </c>
      <c r="F474" s="2" t="str">
        <f>_xlfn.XLOOKUP(orders!C474,customers!$A$1:$A$1001,customers!$B$1:$B$1001,,0)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9">
        <f>INDEX(products!$A$1:$G$49,MATCH(orders!$D474,products!$A$1:$A$49,0),MATCH(orders!K$1,products!$A$1:$G$1,0))</f>
        <v>0.2</v>
      </c>
      <c r="L474" s="10">
        <f>INDEX(products!$A$1:$G$49,MATCH(orders!$D474,products!$A$1:$A$49,0),MATCH(orders!L$1,products!$A$1:$G$1,0))</f>
        <v>2.9849999999999999</v>
      </c>
      <c r="M474" s="10">
        <f t="shared" si="21"/>
        <v>5.97</v>
      </c>
      <c r="N474" t="str">
        <f t="shared" si="22"/>
        <v>Arabica</v>
      </c>
      <c r="O474" t="str">
        <f t="shared" si="23"/>
        <v>Dark</v>
      </c>
      <c r="P474" t="str">
        <f>_xlfn.XLOOKUP(Table1[[#This Row],[Customer ID]],customers!$A$1:$A$1001,customers!$I$1:$I$1001,,0)</f>
        <v>No</v>
      </c>
    </row>
    <row r="475" spans="1:16" x14ac:dyDescent="0.25">
      <c r="A475" s="2" t="s">
        <v>3164</v>
      </c>
      <c r="B475" s="8">
        <v>44603</v>
      </c>
      <c r="C475" s="2" t="s">
        <v>3165</v>
      </c>
      <c r="D475" t="s">
        <v>6140</v>
      </c>
      <c r="E475" s="2">
        <v>2</v>
      </c>
      <c r="F475" s="2" t="str">
        <f>_xlfn.XLOOKUP(orders!C475,customers!$A$1:$A$1001,customers!$B$1:$B$1001,,0)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9">
        <f>INDEX(products!$A$1:$G$49,MATCH(orders!$D475,products!$A$1:$A$49,0),MATCH(orders!K$1,products!$A$1:$G$1,0))</f>
        <v>1</v>
      </c>
      <c r="L475" s="10">
        <f>INDEX(products!$A$1:$G$49,MATCH(orders!$D475,products!$A$1:$A$49,0),MATCH(orders!L$1,products!$A$1:$G$1,0))</f>
        <v>12.95</v>
      </c>
      <c r="M475" s="10">
        <f t="shared" si="21"/>
        <v>25.9</v>
      </c>
      <c r="N475" t="str">
        <f t="shared" si="22"/>
        <v>Arabica</v>
      </c>
      <c r="O475" t="str">
        <f t="shared" si="23"/>
        <v>Light</v>
      </c>
      <c r="P475" t="str">
        <f>_xlfn.XLOOKUP(Table1[[#This Row],[Customer ID]],customers!$A$1:$A$1001,customers!$I$1:$I$1001,,0)</f>
        <v>No</v>
      </c>
    </row>
    <row r="476" spans="1:16" x14ac:dyDescent="0.25">
      <c r="A476" s="2" t="s">
        <v>3170</v>
      </c>
      <c r="B476" s="8">
        <v>44014</v>
      </c>
      <c r="C476" s="2" t="s">
        <v>3171</v>
      </c>
      <c r="D476" t="s">
        <v>6166</v>
      </c>
      <c r="E476" s="2">
        <v>1</v>
      </c>
      <c r="F476" s="2" t="str">
        <f>_xlfn.XLOOKUP(orders!C476,customers!$A$1:$A$1001,customers!$B$1:$B$1001,,0)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9">
        <f>INDEX(products!$A$1:$G$49,MATCH(orders!$D476,products!$A$1:$A$49,0),MATCH(orders!K$1,products!$A$1:$G$1,0))</f>
        <v>2.5</v>
      </c>
      <c r="L476" s="10">
        <f>INDEX(products!$A$1:$G$49,MATCH(orders!$D476,products!$A$1:$A$49,0),MATCH(orders!L$1,products!$A$1:$G$1,0))</f>
        <v>31.624999999999996</v>
      </c>
      <c r="M476" s="10">
        <f t="shared" si="21"/>
        <v>31.624999999999996</v>
      </c>
      <c r="N476" t="str">
        <f t="shared" si="22"/>
        <v>Excelsa</v>
      </c>
      <c r="O476" t="str">
        <f t="shared" si="23"/>
        <v>Medium</v>
      </c>
      <c r="P476" t="str">
        <f>_xlfn.XLOOKUP(Table1[[#This Row],[Customer ID]],customers!$A$1:$A$1001,customers!$I$1:$I$1001,,0)</f>
        <v>Yes</v>
      </c>
    </row>
    <row r="477" spans="1:16" x14ac:dyDescent="0.25">
      <c r="A477" s="2" t="s">
        <v>3176</v>
      </c>
      <c r="B477" s="8">
        <v>44767</v>
      </c>
      <c r="C477" s="2" t="s">
        <v>3177</v>
      </c>
      <c r="D477" t="s">
        <v>6159</v>
      </c>
      <c r="E477" s="2">
        <v>2</v>
      </c>
      <c r="F477" s="2" t="str">
        <f>_xlfn.XLOOKUP(orders!C477,customers!$A$1:$A$1001,customers!$B$1:$B$1001,,0)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9">
        <f>INDEX(products!$A$1:$G$49,MATCH(orders!$D477,products!$A$1:$A$49,0),MATCH(orders!K$1,products!$A$1:$G$1,0))</f>
        <v>0.2</v>
      </c>
      <c r="L477" s="10">
        <f>INDEX(products!$A$1:$G$49,MATCH(orders!$D477,products!$A$1:$A$49,0),MATCH(orders!L$1,products!$A$1:$G$1,0))</f>
        <v>4.3650000000000002</v>
      </c>
      <c r="M477" s="10">
        <f t="shared" si="21"/>
        <v>8.73</v>
      </c>
      <c r="N477" t="str">
        <f t="shared" si="22"/>
        <v>Liberica</v>
      </c>
      <c r="O477" t="str">
        <f t="shared" si="23"/>
        <v>Medium</v>
      </c>
      <c r="P477" t="str">
        <f>_xlfn.XLOOKUP(Table1[[#This Row],[Customer ID]],customers!$A$1:$A$1001,customers!$I$1:$I$1001,,0)</f>
        <v>No</v>
      </c>
    </row>
    <row r="478" spans="1:16" x14ac:dyDescent="0.25">
      <c r="A478" s="2" t="s">
        <v>3181</v>
      </c>
      <c r="B478" s="8">
        <v>44274</v>
      </c>
      <c r="C478" s="2" t="s">
        <v>3182</v>
      </c>
      <c r="D478" t="s">
        <v>6184</v>
      </c>
      <c r="E478" s="2">
        <v>6</v>
      </c>
      <c r="F478" s="2" t="str">
        <f>_xlfn.XLOOKUP(orders!C478,customers!$A$1:$A$1001,customers!$B$1:$B$1001,,0)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9">
        <f>INDEX(products!$A$1:$G$49,MATCH(orders!$D478,products!$A$1:$A$49,0),MATCH(orders!K$1,products!$A$1:$G$1,0))</f>
        <v>0.2</v>
      </c>
      <c r="L478" s="10">
        <f>INDEX(products!$A$1:$G$49,MATCH(orders!$D478,products!$A$1:$A$49,0),MATCH(orders!L$1,products!$A$1:$G$1,0))</f>
        <v>4.4550000000000001</v>
      </c>
      <c r="M478" s="10">
        <f t="shared" si="21"/>
        <v>26.73</v>
      </c>
      <c r="N478" t="str">
        <f t="shared" si="22"/>
        <v>Excelsa</v>
      </c>
      <c r="O478" t="str">
        <f t="shared" si="23"/>
        <v>Light</v>
      </c>
      <c r="P478" t="str">
        <f>_xlfn.XLOOKUP(Table1[[#This Row],[Customer ID]],customers!$A$1:$A$1001,customers!$I$1:$I$1001,,0)</f>
        <v>Yes</v>
      </c>
    </row>
    <row r="479" spans="1:16" x14ac:dyDescent="0.25">
      <c r="A479" s="2" t="s">
        <v>3187</v>
      </c>
      <c r="B479" s="8">
        <v>43962</v>
      </c>
      <c r="C479" s="2" t="s">
        <v>3188</v>
      </c>
      <c r="D479" t="s">
        <v>6159</v>
      </c>
      <c r="E479" s="2">
        <v>6</v>
      </c>
      <c r="F479" s="2" t="str">
        <f>_xlfn.XLOOKUP(orders!C479,customers!$A$1:$A$1001,customers!$B$1:$B$1001,,0)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9">
        <f>INDEX(products!$A$1:$G$49,MATCH(orders!$D479,products!$A$1:$A$49,0),MATCH(orders!K$1,products!$A$1:$G$1,0))</f>
        <v>0.2</v>
      </c>
      <c r="L479" s="10">
        <f>INDEX(products!$A$1:$G$49,MATCH(orders!$D479,products!$A$1:$A$49,0),MATCH(orders!L$1,products!$A$1:$G$1,0))</f>
        <v>4.3650000000000002</v>
      </c>
      <c r="M479" s="10">
        <f t="shared" si="21"/>
        <v>26.19</v>
      </c>
      <c r="N479" t="str">
        <f t="shared" si="22"/>
        <v>Liberica</v>
      </c>
      <c r="O479" t="str">
        <f t="shared" si="23"/>
        <v>Medium</v>
      </c>
      <c r="P479" t="str">
        <f>_xlfn.XLOOKUP(Table1[[#This Row],[Customer ID]],customers!$A$1:$A$1001,customers!$I$1:$I$1001,,0)</f>
        <v>No</v>
      </c>
    </row>
    <row r="480" spans="1:16" x14ac:dyDescent="0.25">
      <c r="A480" s="2" t="s">
        <v>3193</v>
      </c>
      <c r="B480" s="8">
        <v>43624</v>
      </c>
      <c r="C480" s="2" t="s">
        <v>3194</v>
      </c>
      <c r="D480" t="s">
        <v>6177</v>
      </c>
      <c r="E480" s="2">
        <v>6</v>
      </c>
      <c r="F480" s="2" t="str">
        <f>_xlfn.XLOOKUP(orders!C480,customers!$A$1:$A$1001,customers!$B$1:$B$1001,,0)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9">
        <f>INDEX(products!$A$1:$G$49,MATCH(orders!$D480,products!$A$1:$A$49,0),MATCH(orders!K$1,products!$A$1:$G$1,0))</f>
        <v>1</v>
      </c>
      <c r="L480" s="10">
        <f>INDEX(products!$A$1:$G$49,MATCH(orders!$D480,products!$A$1:$A$49,0),MATCH(orders!L$1,products!$A$1:$G$1,0))</f>
        <v>8.9499999999999993</v>
      </c>
      <c r="M480" s="10">
        <f t="shared" si="21"/>
        <v>53.699999999999996</v>
      </c>
      <c r="N480" t="str">
        <f t="shared" si="22"/>
        <v>Robusta</v>
      </c>
      <c r="O480" t="str">
        <f t="shared" si="23"/>
        <v>Dark</v>
      </c>
      <c r="P480" t="str">
        <f>_xlfn.XLOOKUP(Table1[[#This Row],[Customer ID]],customers!$A$1:$A$1001,customers!$I$1:$I$1001,,0)</f>
        <v>Yes</v>
      </c>
    </row>
    <row r="481" spans="1:16" x14ac:dyDescent="0.25">
      <c r="A481" s="2" t="s">
        <v>3193</v>
      </c>
      <c r="B481" s="8">
        <v>43624</v>
      </c>
      <c r="C481" s="2" t="s">
        <v>3194</v>
      </c>
      <c r="D481" t="s">
        <v>6166</v>
      </c>
      <c r="E481" s="2">
        <v>4</v>
      </c>
      <c r="F481" s="2" t="str">
        <f>_xlfn.XLOOKUP(orders!C481,customers!$A$1:$A$1001,customers!$B$1:$B$1001,,0)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9">
        <f>INDEX(products!$A$1:$G$49,MATCH(orders!$D481,products!$A$1:$A$49,0),MATCH(orders!K$1,products!$A$1:$G$1,0))</f>
        <v>2.5</v>
      </c>
      <c r="L481" s="10">
        <f>INDEX(products!$A$1:$G$49,MATCH(orders!$D481,products!$A$1:$A$49,0),MATCH(orders!L$1,products!$A$1:$G$1,0))</f>
        <v>31.624999999999996</v>
      </c>
      <c r="M481" s="10">
        <f t="shared" si="21"/>
        <v>126.49999999999999</v>
      </c>
      <c r="N481" t="str">
        <f t="shared" si="22"/>
        <v>Excelsa</v>
      </c>
      <c r="O481" t="str">
        <f t="shared" si="23"/>
        <v>Medium</v>
      </c>
      <c r="P481" t="str">
        <f>_xlfn.XLOOKUP(Table1[[#This Row],[Customer ID]],customers!$A$1:$A$1001,customers!$I$1:$I$1001,,0)</f>
        <v>Yes</v>
      </c>
    </row>
    <row r="482" spans="1:16" x14ac:dyDescent="0.25">
      <c r="A482" s="2" t="s">
        <v>3193</v>
      </c>
      <c r="B482" s="8">
        <v>43624</v>
      </c>
      <c r="C482" s="2" t="s">
        <v>3194</v>
      </c>
      <c r="D482" t="s">
        <v>6156</v>
      </c>
      <c r="E482" s="2">
        <v>1</v>
      </c>
      <c r="F482" s="2" t="str">
        <f>_xlfn.XLOOKUP(orders!C482,customers!$A$1:$A$1001,customers!$B$1:$B$1001,,0)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9">
        <f>INDEX(products!$A$1:$G$49,MATCH(orders!$D482,products!$A$1:$A$49,0),MATCH(orders!K$1,products!$A$1:$G$1,0))</f>
        <v>0.2</v>
      </c>
      <c r="L482" s="10">
        <f>INDEX(products!$A$1:$G$49,MATCH(orders!$D482,products!$A$1:$A$49,0),MATCH(orders!L$1,products!$A$1:$G$1,0))</f>
        <v>4.125</v>
      </c>
      <c r="M482" s="10">
        <f t="shared" si="21"/>
        <v>4.125</v>
      </c>
      <c r="N482" t="str">
        <f t="shared" si="22"/>
        <v>Excelsa</v>
      </c>
      <c r="O482" t="str">
        <f t="shared" si="23"/>
        <v>Medium</v>
      </c>
      <c r="P482" t="str">
        <f>_xlfn.XLOOKUP(Table1[[#This Row],[Customer ID]],customers!$A$1:$A$1001,customers!$I$1:$I$1001,,0)</f>
        <v>Yes</v>
      </c>
    </row>
    <row r="483" spans="1:16" x14ac:dyDescent="0.25">
      <c r="A483" s="2" t="s">
        <v>3208</v>
      </c>
      <c r="B483" s="8">
        <v>43747</v>
      </c>
      <c r="C483" s="2" t="s">
        <v>3209</v>
      </c>
      <c r="D483" t="s">
        <v>6179</v>
      </c>
      <c r="E483" s="2">
        <v>2</v>
      </c>
      <c r="F483" s="2" t="str">
        <f>_xlfn.XLOOKUP(orders!C483,customers!$A$1:$A$1001,customers!$B$1:$B$1001,,0)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9">
        <f>INDEX(products!$A$1:$G$49,MATCH(orders!$D483,products!$A$1:$A$49,0),MATCH(orders!K$1,products!$A$1:$G$1,0))</f>
        <v>1</v>
      </c>
      <c r="L483" s="10">
        <f>INDEX(products!$A$1:$G$49,MATCH(orders!$D483,products!$A$1:$A$49,0),MATCH(orders!L$1,products!$A$1:$G$1,0))</f>
        <v>11.95</v>
      </c>
      <c r="M483" s="10">
        <f t="shared" si="21"/>
        <v>23.9</v>
      </c>
      <c r="N483" t="str">
        <f t="shared" si="22"/>
        <v>Robusta</v>
      </c>
      <c r="O483" t="str">
        <f t="shared" si="23"/>
        <v>Light</v>
      </c>
      <c r="P483" t="str">
        <f>_xlfn.XLOOKUP(Table1[[#This Row],[Customer ID]],customers!$A$1:$A$1001,customers!$I$1:$I$1001,,0)</f>
        <v>No</v>
      </c>
    </row>
    <row r="484" spans="1:16" x14ac:dyDescent="0.25">
      <c r="A484" s="2" t="s">
        <v>3214</v>
      </c>
      <c r="B484" s="8">
        <v>44247</v>
      </c>
      <c r="C484" s="2" t="s">
        <v>3215</v>
      </c>
      <c r="D484" t="s">
        <v>6185</v>
      </c>
      <c r="E484" s="2">
        <v>5</v>
      </c>
      <c r="F484" s="2" t="str">
        <f>_xlfn.XLOOKUP(orders!C484,customers!$A$1:$A$1001,customers!$B$1:$B$1001,,0)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9">
        <f>INDEX(products!$A$1:$G$49,MATCH(orders!$D484,products!$A$1:$A$49,0),MATCH(orders!K$1,products!$A$1:$G$1,0))</f>
        <v>2.5</v>
      </c>
      <c r="L484" s="10">
        <f>INDEX(products!$A$1:$G$49,MATCH(orders!$D484,products!$A$1:$A$49,0),MATCH(orders!L$1,products!$A$1:$G$1,0))</f>
        <v>27.945</v>
      </c>
      <c r="M484" s="10">
        <f t="shared" si="21"/>
        <v>139.72499999999999</v>
      </c>
      <c r="N484" t="str">
        <f t="shared" si="22"/>
        <v>Excelsa</v>
      </c>
      <c r="O484" t="str">
        <f t="shared" si="23"/>
        <v>Dark</v>
      </c>
      <c r="P484" t="str">
        <f>_xlfn.XLOOKUP(Table1[[#This Row],[Customer ID]],customers!$A$1:$A$1001,customers!$I$1:$I$1001,,0)</f>
        <v>Yes</v>
      </c>
    </row>
    <row r="485" spans="1:16" x14ac:dyDescent="0.25">
      <c r="A485" s="2" t="s">
        <v>3220</v>
      </c>
      <c r="B485" s="8">
        <v>43790</v>
      </c>
      <c r="C485" s="2" t="s">
        <v>3221</v>
      </c>
      <c r="D485" t="s">
        <v>6165</v>
      </c>
      <c r="E485" s="2">
        <v>2</v>
      </c>
      <c r="F485" s="2" t="str">
        <f>_xlfn.XLOOKUP(orders!C485,customers!$A$1:$A$1001,customers!$B$1:$B$1001,,0)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9">
        <f>INDEX(products!$A$1:$G$49,MATCH(orders!$D485,products!$A$1:$A$49,0),MATCH(orders!K$1,products!$A$1:$G$1,0))</f>
        <v>2.5</v>
      </c>
      <c r="L485" s="10">
        <f>INDEX(products!$A$1:$G$49,MATCH(orders!$D485,products!$A$1:$A$49,0),MATCH(orders!L$1,products!$A$1:$G$1,0))</f>
        <v>29.784999999999997</v>
      </c>
      <c r="M485" s="10">
        <f t="shared" si="21"/>
        <v>59.569999999999993</v>
      </c>
      <c r="N485" t="str">
        <f t="shared" si="22"/>
        <v>Liberica</v>
      </c>
      <c r="O485" t="str">
        <f t="shared" si="23"/>
        <v>Dark</v>
      </c>
      <c r="P485" t="str">
        <f>_xlfn.XLOOKUP(Table1[[#This Row],[Customer ID]],customers!$A$1:$A$1001,customers!$I$1:$I$1001,,0)</f>
        <v>Yes</v>
      </c>
    </row>
    <row r="486" spans="1:16" x14ac:dyDescent="0.25">
      <c r="A486" s="2" t="s">
        <v>3225</v>
      </c>
      <c r="B486" s="8">
        <v>44479</v>
      </c>
      <c r="C486" s="2" t="s">
        <v>3226</v>
      </c>
      <c r="D486" t="s">
        <v>6161</v>
      </c>
      <c r="E486" s="2">
        <v>6</v>
      </c>
      <c r="F486" s="2" t="str">
        <f>_xlfn.XLOOKUP(orders!C486,customers!$A$1:$A$1001,customers!$B$1:$B$1001,,0)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9">
        <f>INDEX(products!$A$1:$G$49,MATCH(orders!$D486,products!$A$1:$A$49,0),MATCH(orders!K$1,products!$A$1:$G$1,0))</f>
        <v>0.5</v>
      </c>
      <c r="L486" s="10">
        <f>INDEX(products!$A$1:$G$49,MATCH(orders!$D486,products!$A$1:$A$49,0),MATCH(orders!L$1,products!$A$1:$G$1,0))</f>
        <v>9.51</v>
      </c>
      <c r="M486" s="10">
        <f t="shared" si="21"/>
        <v>57.06</v>
      </c>
      <c r="N486" t="str">
        <f t="shared" si="22"/>
        <v>Liberica</v>
      </c>
      <c r="O486" t="str">
        <f t="shared" si="23"/>
        <v>Light</v>
      </c>
      <c r="P486" t="str">
        <f>_xlfn.XLOOKUP(Table1[[#This Row],[Customer ID]],customers!$A$1:$A$1001,customers!$I$1:$I$1001,,0)</f>
        <v>No</v>
      </c>
    </row>
    <row r="487" spans="1:16" x14ac:dyDescent="0.25">
      <c r="A487" s="2" t="s">
        <v>3230</v>
      </c>
      <c r="B487" s="8">
        <v>44413</v>
      </c>
      <c r="C487" s="2" t="s">
        <v>3231</v>
      </c>
      <c r="D487" t="s">
        <v>6178</v>
      </c>
      <c r="E487" s="2">
        <v>6</v>
      </c>
      <c r="F487" s="2" t="str">
        <f>_xlfn.XLOOKUP(orders!C487,customers!$A$1:$A$1001,customers!$B$1:$B$1001,,0)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9">
        <f>INDEX(products!$A$1:$G$49,MATCH(orders!$D487,products!$A$1:$A$49,0),MATCH(orders!K$1,products!$A$1:$G$1,0))</f>
        <v>0.2</v>
      </c>
      <c r="L487" s="10">
        <f>INDEX(products!$A$1:$G$49,MATCH(orders!$D487,products!$A$1:$A$49,0),MATCH(orders!L$1,products!$A$1:$G$1,0))</f>
        <v>3.5849999999999995</v>
      </c>
      <c r="M487" s="10">
        <f t="shared" si="21"/>
        <v>21.509999999999998</v>
      </c>
      <c r="N487" t="str">
        <f t="shared" si="22"/>
        <v>Robusta</v>
      </c>
      <c r="O487" t="str">
        <f t="shared" si="23"/>
        <v>Light</v>
      </c>
      <c r="P487" t="str">
        <f>_xlfn.XLOOKUP(Table1[[#This Row],[Customer ID]],customers!$A$1:$A$1001,customers!$I$1:$I$1001,,0)</f>
        <v>Yes</v>
      </c>
    </row>
    <row r="488" spans="1:16" x14ac:dyDescent="0.25">
      <c r="A488" s="2" t="s">
        <v>3236</v>
      </c>
      <c r="B488" s="8">
        <v>44043</v>
      </c>
      <c r="C488" s="2" t="s">
        <v>3237</v>
      </c>
      <c r="D488" t="s">
        <v>6160</v>
      </c>
      <c r="E488" s="2">
        <v>6</v>
      </c>
      <c r="F488" s="2" t="str">
        <f>_xlfn.XLOOKUP(orders!C488,customers!$A$1:$A$1001,customers!$B$1:$B$1001,,0)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9">
        <f>INDEX(products!$A$1:$G$49,MATCH(orders!$D488,products!$A$1:$A$49,0),MATCH(orders!K$1,products!$A$1:$G$1,0))</f>
        <v>0.5</v>
      </c>
      <c r="L488" s="10">
        <f>INDEX(products!$A$1:$G$49,MATCH(orders!$D488,products!$A$1:$A$49,0),MATCH(orders!L$1,products!$A$1:$G$1,0))</f>
        <v>8.73</v>
      </c>
      <c r="M488" s="10">
        <f t="shared" si="21"/>
        <v>52.38</v>
      </c>
      <c r="N488" t="str">
        <f t="shared" si="22"/>
        <v>Liberica</v>
      </c>
      <c r="O488" t="str">
        <f t="shared" si="23"/>
        <v>Medium</v>
      </c>
      <c r="P488" t="str">
        <f>_xlfn.XLOOKUP(Table1[[#This Row],[Customer ID]],customers!$A$1:$A$1001,customers!$I$1:$I$1001,,0)</f>
        <v>Yes</v>
      </c>
    </row>
    <row r="489" spans="1:16" x14ac:dyDescent="0.25">
      <c r="A489" s="2" t="s">
        <v>3242</v>
      </c>
      <c r="B489" s="8">
        <v>44093</v>
      </c>
      <c r="C489" s="2" t="s">
        <v>3243</v>
      </c>
      <c r="D489" t="s">
        <v>6183</v>
      </c>
      <c r="E489" s="2">
        <v>6</v>
      </c>
      <c r="F489" s="2" t="str">
        <f>_xlfn.XLOOKUP(orders!C489,customers!$A$1:$A$1001,customers!$B$1:$B$1001,,0)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9">
        <f>INDEX(products!$A$1:$G$49,MATCH(orders!$D489,products!$A$1:$A$49,0),MATCH(orders!K$1,products!$A$1:$G$1,0))</f>
        <v>1</v>
      </c>
      <c r="L489" s="10">
        <f>INDEX(products!$A$1:$G$49,MATCH(orders!$D489,products!$A$1:$A$49,0),MATCH(orders!L$1,products!$A$1:$G$1,0))</f>
        <v>12.15</v>
      </c>
      <c r="M489" s="10">
        <f t="shared" si="21"/>
        <v>72.900000000000006</v>
      </c>
      <c r="N489" t="str">
        <f t="shared" si="22"/>
        <v>Excelsa</v>
      </c>
      <c r="O489" t="str">
        <f t="shared" si="23"/>
        <v>Dark</v>
      </c>
      <c r="P489" t="str">
        <f>_xlfn.XLOOKUP(Table1[[#This Row],[Customer ID]],customers!$A$1:$A$1001,customers!$I$1:$I$1001,,0)</f>
        <v>No</v>
      </c>
    </row>
    <row r="490" spans="1:16" x14ac:dyDescent="0.25">
      <c r="A490" s="2" t="s">
        <v>3248</v>
      </c>
      <c r="B490" s="8">
        <v>43954</v>
      </c>
      <c r="C490" s="2" t="s">
        <v>3249</v>
      </c>
      <c r="D490" t="s">
        <v>6174</v>
      </c>
      <c r="E490" s="2">
        <v>5</v>
      </c>
      <c r="F490" s="2" t="str">
        <f>_xlfn.XLOOKUP(orders!C490,customers!$A$1:$A$1001,customers!$B$1:$B$1001,,0)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9">
        <f>INDEX(products!$A$1:$G$49,MATCH(orders!$D490,products!$A$1:$A$49,0),MATCH(orders!K$1,products!$A$1:$G$1,0))</f>
        <v>0.2</v>
      </c>
      <c r="L490" s="10">
        <f>INDEX(products!$A$1:$G$49,MATCH(orders!$D490,products!$A$1:$A$49,0),MATCH(orders!L$1,products!$A$1:$G$1,0))</f>
        <v>2.9849999999999999</v>
      </c>
      <c r="M490" s="10">
        <f t="shared" si="21"/>
        <v>14.924999999999999</v>
      </c>
      <c r="N490" t="str">
        <f t="shared" si="22"/>
        <v>Robusta</v>
      </c>
      <c r="O490" t="str">
        <f t="shared" si="23"/>
        <v>Medium</v>
      </c>
      <c r="P490" t="str">
        <f>_xlfn.XLOOKUP(Table1[[#This Row],[Customer ID]],customers!$A$1:$A$1001,customers!$I$1:$I$1001,,0)</f>
        <v>Yes</v>
      </c>
    </row>
    <row r="491" spans="1:16" x14ac:dyDescent="0.25">
      <c r="A491" s="2" t="s">
        <v>3254</v>
      </c>
      <c r="B491" s="8">
        <v>43654</v>
      </c>
      <c r="C491" s="2" t="s">
        <v>3255</v>
      </c>
      <c r="D491" t="s">
        <v>6170</v>
      </c>
      <c r="E491" s="2">
        <v>6</v>
      </c>
      <c r="F491" s="2" t="str">
        <f>_xlfn.XLOOKUP(orders!C491,customers!$A$1:$A$1001,customers!$B$1:$B$1001,,0)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9">
        <f>INDEX(products!$A$1:$G$49,MATCH(orders!$D491,products!$A$1:$A$49,0),MATCH(orders!K$1,products!$A$1:$G$1,0))</f>
        <v>1</v>
      </c>
      <c r="L491" s="10">
        <f>INDEX(products!$A$1:$G$49,MATCH(orders!$D491,products!$A$1:$A$49,0),MATCH(orders!L$1,products!$A$1:$G$1,0))</f>
        <v>15.85</v>
      </c>
      <c r="M491" s="10">
        <f t="shared" si="21"/>
        <v>95.1</v>
      </c>
      <c r="N491" t="str">
        <f t="shared" si="22"/>
        <v>Liberica</v>
      </c>
      <c r="O491" t="str">
        <f t="shared" si="23"/>
        <v>Light</v>
      </c>
      <c r="P491" t="str">
        <f>_xlfn.XLOOKUP(Table1[[#This Row],[Customer ID]],customers!$A$1:$A$1001,customers!$I$1:$I$1001,,0)</f>
        <v>No</v>
      </c>
    </row>
    <row r="492" spans="1:16" x14ac:dyDescent="0.25">
      <c r="A492" s="2" t="s">
        <v>3260</v>
      </c>
      <c r="B492" s="8">
        <v>43764</v>
      </c>
      <c r="C492" s="2" t="s">
        <v>3261</v>
      </c>
      <c r="D492" t="s">
        <v>6169</v>
      </c>
      <c r="E492" s="2">
        <v>2</v>
      </c>
      <c r="F492" s="2" t="str">
        <f>_xlfn.XLOOKUP(orders!C492,customers!$A$1:$A$1001,customers!$B$1:$B$1001,,0)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9">
        <f>INDEX(products!$A$1:$G$49,MATCH(orders!$D492,products!$A$1:$A$49,0),MATCH(orders!K$1,products!$A$1:$G$1,0))</f>
        <v>0.5</v>
      </c>
      <c r="L492" s="10">
        <f>INDEX(products!$A$1:$G$49,MATCH(orders!$D492,products!$A$1:$A$49,0),MATCH(orders!L$1,products!$A$1:$G$1,0))</f>
        <v>7.77</v>
      </c>
      <c r="M492" s="10">
        <f t="shared" si="21"/>
        <v>15.54</v>
      </c>
      <c r="N492" t="str">
        <f t="shared" si="22"/>
        <v>Liberica</v>
      </c>
      <c r="O492" t="str">
        <f t="shared" si="23"/>
        <v>Dark</v>
      </c>
      <c r="P492" t="str">
        <f>_xlfn.XLOOKUP(Table1[[#This Row],[Customer ID]],customers!$A$1:$A$1001,customers!$I$1:$I$1001,,0)</f>
        <v>No</v>
      </c>
    </row>
    <row r="493" spans="1:16" x14ac:dyDescent="0.25">
      <c r="A493" s="2" t="s">
        <v>3266</v>
      </c>
      <c r="B493" s="8">
        <v>44101</v>
      </c>
      <c r="C493" s="2" t="s">
        <v>3267</v>
      </c>
      <c r="D493" t="s">
        <v>6150</v>
      </c>
      <c r="E493" s="2">
        <v>6</v>
      </c>
      <c r="F493" s="2" t="str">
        <f>_xlfn.XLOOKUP(orders!C493,customers!$A$1:$A$1001,customers!$B$1:$B$1001,,0)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9">
        <f>INDEX(products!$A$1:$G$49,MATCH(orders!$D493,products!$A$1:$A$49,0),MATCH(orders!K$1,products!$A$1:$G$1,0))</f>
        <v>0.2</v>
      </c>
      <c r="L493" s="10">
        <f>INDEX(products!$A$1:$G$49,MATCH(orders!$D493,products!$A$1:$A$49,0),MATCH(orders!L$1,products!$A$1:$G$1,0))</f>
        <v>3.8849999999999998</v>
      </c>
      <c r="M493" s="10">
        <f t="shared" si="21"/>
        <v>23.31</v>
      </c>
      <c r="N493" t="str">
        <f t="shared" si="22"/>
        <v>Liberica</v>
      </c>
      <c r="O493" t="str">
        <f t="shared" si="23"/>
        <v>Dark</v>
      </c>
      <c r="P493" t="str">
        <f>_xlfn.XLOOKUP(Table1[[#This Row],[Customer ID]],customers!$A$1:$A$1001,customers!$I$1:$I$1001,,0)</f>
        <v>No</v>
      </c>
    </row>
    <row r="494" spans="1:16" x14ac:dyDescent="0.25">
      <c r="A494" s="2" t="s">
        <v>3271</v>
      </c>
      <c r="B494" s="8">
        <v>44620</v>
      </c>
      <c r="C494" s="2" t="s">
        <v>3272</v>
      </c>
      <c r="D494" t="s">
        <v>6156</v>
      </c>
      <c r="E494" s="2">
        <v>1</v>
      </c>
      <c r="F494" s="2" t="str">
        <f>_xlfn.XLOOKUP(orders!C494,customers!$A$1:$A$1001,customers!$B$1:$B$1001,,0)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9">
        <f>INDEX(products!$A$1:$G$49,MATCH(orders!$D494,products!$A$1:$A$49,0),MATCH(orders!K$1,products!$A$1:$G$1,0))</f>
        <v>0.2</v>
      </c>
      <c r="L494" s="10">
        <f>INDEX(products!$A$1:$G$49,MATCH(orders!$D494,products!$A$1:$A$49,0),MATCH(orders!L$1,products!$A$1:$G$1,0))</f>
        <v>4.125</v>
      </c>
      <c r="M494" s="10">
        <f t="shared" si="21"/>
        <v>4.125</v>
      </c>
      <c r="N494" t="str">
        <f t="shared" si="22"/>
        <v>Excelsa</v>
      </c>
      <c r="O494" t="str">
        <f t="shared" si="23"/>
        <v>Medium</v>
      </c>
      <c r="P494" t="str">
        <f>_xlfn.XLOOKUP(Table1[[#This Row],[Customer ID]],customers!$A$1:$A$1001,customers!$I$1:$I$1001,,0)</f>
        <v>Yes</v>
      </c>
    </row>
    <row r="495" spans="1:16" x14ac:dyDescent="0.25">
      <c r="A495" s="2" t="s">
        <v>3277</v>
      </c>
      <c r="B495" s="8">
        <v>44090</v>
      </c>
      <c r="C495" s="2" t="s">
        <v>3278</v>
      </c>
      <c r="D495" t="s">
        <v>6146</v>
      </c>
      <c r="E495" s="2">
        <v>6</v>
      </c>
      <c r="F495" s="2" t="str">
        <f>_xlfn.XLOOKUP(orders!C495,customers!$A$1:$A$1001,customers!$B$1:$B$1001,,0)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9">
        <f>INDEX(products!$A$1:$G$49,MATCH(orders!$D495,products!$A$1:$A$49,0),MATCH(orders!K$1,products!$A$1:$G$1,0))</f>
        <v>0.5</v>
      </c>
      <c r="L495" s="10">
        <f>INDEX(products!$A$1:$G$49,MATCH(orders!$D495,products!$A$1:$A$49,0),MATCH(orders!L$1,products!$A$1:$G$1,0))</f>
        <v>5.97</v>
      </c>
      <c r="M495" s="10">
        <f t="shared" si="21"/>
        <v>35.82</v>
      </c>
      <c r="N495" t="str">
        <f t="shared" si="22"/>
        <v>Robusta</v>
      </c>
      <c r="O495" t="str">
        <f t="shared" si="23"/>
        <v>Medium</v>
      </c>
      <c r="P495" t="str">
        <f>_xlfn.XLOOKUP(Table1[[#This Row],[Customer ID]],customers!$A$1:$A$1001,customers!$I$1:$I$1001,,0)</f>
        <v>No</v>
      </c>
    </row>
    <row r="496" spans="1:16" x14ac:dyDescent="0.25">
      <c r="A496" s="2" t="s">
        <v>3283</v>
      </c>
      <c r="B496" s="8">
        <v>44132</v>
      </c>
      <c r="C496" s="2" t="s">
        <v>3284</v>
      </c>
      <c r="D496" t="s">
        <v>6170</v>
      </c>
      <c r="E496" s="2">
        <v>2</v>
      </c>
      <c r="F496" s="2" t="str">
        <f>_xlfn.XLOOKUP(orders!C496,customers!$A$1:$A$1001,customers!$B$1:$B$1001,,0)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9">
        <f>INDEX(products!$A$1:$G$49,MATCH(orders!$D496,products!$A$1:$A$49,0),MATCH(orders!K$1,products!$A$1:$G$1,0))</f>
        <v>1</v>
      </c>
      <c r="L496" s="10">
        <f>INDEX(products!$A$1:$G$49,MATCH(orders!$D496,products!$A$1:$A$49,0),MATCH(orders!L$1,products!$A$1:$G$1,0))</f>
        <v>15.85</v>
      </c>
      <c r="M496" s="10">
        <f t="shared" si="21"/>
        <v>31.7</v>
      </c>
      <c r="N496" t="str">
        <f t="shared" si="22"/>
        <v>Liberica</v>
      </c>
      <c r="O496" t="str">
        <f t="shared" si="23"/>
        <v>Light</v>
      </c>
      <c r="P496" t="str">
        <f>_xlfn.XLOOKUP(Table1[[#This Row],[Customer ID]],customers!$A$1:$A$1001,customers!$I$1:$I$1001,,0)</f>
        <v>No</v>
      </c>
    </row>
    <row r="497" spans="1:16" x14ac:dyDescent="0.25">
      <c r="A497" s="2" t="s">
        <v>3289</v>
      </c>
      <c r="B497" s="8">
        <v>43710</v>
      </c>
      <c r="C497" s="2" t="s">
        <v>3290</v>
      </c>
      <c r="D497" t="s">
        <v>6170</v>
      </c>
      <c r="E497" s="2">
        <v>5</v>
      </c>
      <c r="F497" s="2" t="str">
        <f>_xlfn.XLOOKUP(orders!C497,customers!$A$1:$A$1001,customers!$B$1:$B$1001,,0)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9">
        <f>INDEX(products!$A$1:$G$49,MATCH(orders!$D497,products!$A$1:$A$49,0),MATCH(orders!K$1,products!$A$1:$G$1,0))</f>
        <v>1</v>
      </c>
      <c r="L497" s="10">
        <f>INDEX(products!$A$1:$G$49,MATCH(orders!$D497,products!$A$1:$A$49,0),MATCH(orders!L$1,products!$A$1:$G$1,0))</f>
        <v>15.85</v>
      </c>
      <c r="M497" s="10">
        <f t="shared" si="21"/>
        <v>79.25</v>
      </c>
      <c r="N497" t="str">
        <f t="shared" si="22"/>
        <v>Liberica</v>
      </c>
      <c r="O497" t="str">
        <f t="shared" si="23"/>
        <v>Light</v>
      </c>
      <c r="P497" t="str">
        <f>_xlfn.XLOOKUP(Table1[[#This Row],[Customer ID]],customers!$A$1:$A$1001,customers!$I$1:$I$1001,,0)</f>
        <v>Yes</v>
      </c>
    </row>
    <row r="498" spans="1:16" x14ac:dyDescent="0.25">
      <c r="A498" s="2" t="s">
        <v>3294</v>
      </c>
      <c r="B498" s="8">
        <v>44438</v>
      </c>
      <c r="C498" s="2" t="s">
        <v>3295</v>
      </c>
      <c r="D498" t="s">
        <v>6153</v>
      </c>
      <c r="E498" s="2">
        <v>3</v>
      </c>
      <c r="F498" s="2" t="str">
        <f>_xlfn.XLOOKUP(orders!C498,customers!$A$1:$A$1001,customers!$B$1:$B$1001,,0)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9">
        <f>INDEX(products!$A$1:$G$49,MATCH(orders!$D498,products!$A$1:$A$49,0),MATCH(orders!K$1,products!$A$1:$G$1,0))</f>
        <v>0.2</v>
      </c>
      <c r="L498" s="10">
        <f>INDEX(products!$A$1:$G$49,MATCH(orders!$D498,products!$A$1:$A$49,0),MATCH(orders!L$1,products!$A$1:$G$1,0))</f>
        <v>3.645</v>
      </c>
      <c r="M498" s="10">
        <f t="shared" si="21"/>
        <v>10.935</v>
      </c>
      <c r="N498" t="str">
        <f t="shared" si="22"/>
        <v>Excelsa</v>
      </c>
      <c r="O498" t="str">
        <f t="shared" si="23"/>
        <v>Dark</v>
      </c>
      <c r="P498" t="str">
        <f>_xlfn.XLOOKUP(Table1[[#This Row],[Customer ID]],customers!$A$1:$A$1001,customers!$I$1:$I$1001,,0)</f>
        <v>No</v>
      </c>
    </row>
    <row r="499" spans="1:16" x14ac:dyDescent="0.25">
      <c r="A499" s="2" t="s">
        <v>3300</v>
      </c>
      <c r="B499" s="8">
        <v>44351</v>
      </c>
      <c r="C499" s="2" t="s">
        <v>3301</v>
      </c>
      <c r="D499" t="s">
        <v>6147</v>
      </c>
      <c r="E499" s="2">
        <v>4</v>
      </c>
      <c r="F499" s="2" t="str">
        <f>_xlfn.XLOOKUP(orders!C499,customers!$A$1:$A$1001,customers!$B$1:$B$1001,,0)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9">
        <f>INDEX(products!$A$1:$G$49,MATCH(orders!$D499,products!$A$1:$A$49,0),MATCH(orders!K$1,products!$A$1:$G$1,0))</f>
        <v>1</v>
      </c>
      <c r="L499" s="10">
        <f>INDEX(products!$A$1:$G$49,MATCH(orders!$D499,products!$A$1:$A$49,0),MATCH(orders!L$1,products!$A$1:$G$1,0))</f>
        <v>9.9499999999999993</v>
      </c>
      <c r="M499" s="10">
        <f t="shared" si="21"/>
        <v>39.799999999999997</v>
      </c>
      <c r="N499" t="str">
        <f t="shared" si="22"/>
        <v>Arabica</v>
      </c>
      <c r="O499" t="str">
        <f t="shared" si="23"/>
        <v>Dark</v>
      </c>
      <c r="P499" t="str">
        <f>_xlfn.XLOOKUP(Table1[[#This Row],[Customer ID]],customers!$A$1:$A$1001,customers!$I$1:$I$1001,,0)</f>
        <v>No</v>
      </c>
    </row>
    <row r="500" spans="1:16" x14ac:dyDescent="0.25">
      <c r="A500" s="2" t="s">
        <v>3307</v>
      </c>
      <c r="B500" s="8">
        <v>44159</v>
      </c>
      <c r="C500" s="2" t="s">
        <v>3368</v>
      </c>
      <c r="D500" t="s">
        <v>6138</v>
      </c>
      <c r="E500" s="2">
        <v>5</v>
      </c>
      <c r="F500" s="2" t="str">
        <f>_xlfn.XLOOKUP(orders!C500,customers!$A$1:$A$1001,customers!$B$1:$B$1001,,0)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9">
        <f>INDEX(products!$A$1:$G$49,MATCH(orders!$D500,products!$A$1:$A$49,0),MATCH(orders!K$1,products!$A$1:$G$1,0))</f>
        <v>1</v>
      </c>
      <c r="L500" s="10">
        <f>INDEX(products!$A$1:$G$49,MATCH(orders!$D500,products!$A$1:$A$49,0),MATCH(orders!L$1,products!$A$1:$G$1,0))</f>
        <v>9.9499999999999993</v>
      </c>
      <c r="M500" s="10">
        <f t="shared" si="21"/>
        <v>49.75</v>
      </c>
      <c r="N500" t="str">
        <f t="shared" si="22"/>
        <v>Robusta</v>
      </c>
      <c r="O500" t="str">
        <f t="shared" si="23"/>
        <v>Medium</v>
      </c>
      <c r="P500" t="str">
        <f>_xlfn.XLOOKUP(Table1[[#This Row],[Customer ID]],customers!$A$1:$A$1001,customers!$I$1:$I$1001,,0)</f>
        <v>Yes</v>
      </c>
    </row>
    <row r="501" spans="1:16" x14ac:dyDescent="0.25">
      <c r="A501" s="2" t="s">
        <v>3313</v>
      </c>
      <c r="B501" s="8">
        <v>44003</v>
      </c>
      <c r="C501" s="2" t="s">
        <v>3314</v>
      </c>
      <c r="D501" t="s">
        <v>6163</v>
      </c>
      <c r="E501" s="2">
        <v>3</v>
      </c>
      <c r="F501" s="2" t="str">
        <f>_xlfn.XLOOKUP(orders!C501,customers!$A$1:$A$1001,customers!$B$1:$B$1001,,0)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9">
        <f>INDEX(products!$A$1:$G$49,MATCH(orders!$D501,products!$A$1:$A$49,0),MATCH(orders!K$1,products!$A$1:$G$1,0))</f>
        <v>0.2</v>
      </c>
      <c r="L501" s="10">
        <f>INDEX(products!$A$1:$G$49,MATCH(orders!$D501,products!$A$1:$A$49,0),MATCH(orders!L$1,products!$A$1:$G$1,0))</f>
        <v>2.6849999999999996</v>
      </c>
      <c r="M501" s="10">
        <f t="shared" si="21"/>
        <v>8.0549999999999997</v>
      </c>
      <c r="N501" t="str">
        <f t="shared" si="22"/>
        <v>Robusta</v>
      </c>
      <c r="O501" t="str">
        <f t="shared" si="23"/>
        <v>Dark</v>
      </c>
      <c r="P501" t="str">
        <f>_xlfn.XLOOKUP(Table1[[#This Row],[Customer ID]],customers!$A$1:$A$1001,customers!$I$1:$I$1001,,0)</f>
        <v>Yes</v>
      </c>
    </row>
    <row r="502" spans="1:16" x14ac:dyDescent="0.25">
      <c r="A502" s="2" t="s">
        <v>3318</v>
      </c>
      <c r="B502" s="8">
        <v>44025</v>
      </c>
      <c r="C502" s="2" t="s">
        <v>3319</v>
      </c>
      <c r="D502" t="s">
        <v>6179</v>
      </c>
      <c r="E502" s="2">
        <v>4</v>
      </c>
      <c r="F502" s="2" t="str">
        <f>_xlfn.XLOOKUP(orders!C502,customers!$A$1:$A$1001,customers!$B$1:$B$1001,,0)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9">
        <f>INDEX(products!$A$1:$G$49,MATCH(orders!$D502,products!$A$1:$A$49,0),MATCH(orders!K$1,products!$A$1:$G$1,0))</f>
        <v>1</v>
      </c>
      <c r="L502" s="10">
        <f>INDEX(products!$A$1:$G$49,MATCH(orders!$D502,products!$A$1:$A$49,0),MATCH(orders!L$1,products!$A$1:$G$1,0))</f>
        <v>11.95</v>
      </c>
      <c r="M502" s="10">
        <f t="shared" si="21"/>
        <v>47.8</v>
      </c>
      <c r="N502" t="str">
        <f t="shared" si="22"/>
        <v>Robusta</v>
      </c>
      <c r="O502" t="str">
        <f t="shared" si="23"/>
        <v>Light</v>
      </c>
      <c r="P502" t="str">
        <f>_xlfn.XLOOKUP(Table1[[#This Row],[Customer ID]],customers!$A$1:$A$1001,customers!$I$1:$I$1001,,0)</f>
        <v>No</v>
      </c>
    </row>
    <row r="503" spans="1:16" x14ac:dyDescent="0.25">
      <c r="A503" s="2" t="s">
        <v>3323</v>
      </c>
      <c r="B503" s="8">
        <v>43467</v>
      </c>
      <c r="C503" s="2" t="s">
        <v>3324</v>
      </c>
      <c r="D503" t="s">
        <v>6174</v>
      </c>
      <c r="E503" s="2">
        <v>4</v>
      </c>
      <c r="F503" s="2" t="str">
        <f>_xlfn.XLOOKUP(orders!C503,customers!$A$1:$A$1001,customers!$B$1:$B$1001,,0)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9">
        <f>INDEX(products!$A$1:$G$49,MATCH(orders!$D503,products!$A$1:$A$49,0),MATCH(orders!K$1,products!$A$1:$G$1,0))</f>
        <v>0.2</v>
      </c>
      <c r="L503" s="10">
        <f>INDEX(products!$A$1:$G$49,MATCH(orders!$D503,products!$A$1:$A$49,0),MATCH(orders!L$1,products!$A$1:$G$1,0))</f>
        <v>2.9849999999999999</v>
      </c>
      <c r="M503" s="10">
        <f t="shared" si="21"/>
        <v>11.94</v>
      </c>
      <c r="N503" t="str">
        <f t="shared" si="22"/>
        <v>Robusta</v>
      </c>
      <c r="O503" t="str">
        <f t="shared" si="23"/>
        <v>Medium</v>
      </c>
      <c r="P503" t="str">
        <f>_xlfn.XLOOKUP(Table1[[#This Row],[Customer ID]],customers!$A$1:$A$1001,customers!$I$1:$I$1001,,0)</f>
        <v>No</v>
      </c>
    </row>
    <row r="504" spans="1:16" x14ac:dyDescent="0.25">
      <c r="A504" s="2" t="s">
        <v>3323</v>
      </c>
      <c r="B504" s="8">
        <v>43467</v>
      </c>
      <c r="C504" s="2" t="s">
        <v>3324</v>
      </c>
      <c r="D504" t="s">
        <v>6156</v>
      </c>
      <c r="E504" s="2">
        <v>4</v>
      </c>
      <c r="F504" s="2" t="str">
        <f>_xlfn.XLOOKUP(orders!C504,customers!$A$1:$A$1001,customers!$B$1:$B$1001,,0)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9">
        <f>INDEX(products!$A$1:$G$49,MATCH(orders!$D504,products!$A$1:$A$49,0),MATCH(orders!K$1,products!$A$1:$G$1,0))</f>
        <v>0.2</v>
      </c>
      <c r="L504" s="10">
        <f>INDEX(products!$A$1:$G$49,MATCH(orders!$D504,products!$A$1:$A$49,0),MATCH(orders!L$1,products!$A$1:$G$1,0))</f>
        <v>4.125</v>
      </c>
      <c r="M504" s="10">
        <f t="shared" si="21"/>
        <v>16.5</v>
      </c>
      <c r="N504" t="str">
        <f t="shared" si="22"/>
        <v>Excelsa</v>
      </c>
      <c r="O504" t="str">
        <f t="shared" si="23"/>
        <v>Medium</v>
      </c>
      <c r="P504" t="str">
        <f>_xlfn.XLOOKUP(Table1[[#This Row],[Customer ID]],customers!$A$1:$A$1001,customers!$I$1:$I$1001,,0)</f>
        <v>No</v>
      </c>
    </row>
    <row r="505" spans="1:16" x14ac:dyDescent="0.25">
      <c r="A505" s="2" t="s">
        <v>3323</v>
      </c>
      <c r="B505" s="8">
        <v>43467</v>
      </c>
      <c r="C505" s="2" t="s">
        <v>3324</v>
      </c>
      <c r="D505" t="s">
        <v>6143</v>
      </c>
      <c r="E505" s="2">
        <v>4</v>
      </c>
      <c r="F505" s="2" t="str">
        <f>_xlfn.XLOOKUP(orders!C505,customers!$A$1:$A$1001,customers!$B$1:$B$1001,,0)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9">
        <f>INDEX(products!$A$1:$G$49,MATCH(orders!$D505,products!$A$1:$A$49,0),MATCH(orders!K$1,products!$A$1:$G$1,0))</f>
        <v>1</v>
      </c>
      <c r="L505" s="10">
        <f>INDEX(products!$A$1:$G$49,MATCH(orders!$D505,products!$A$1:$A$49,0),MATCH(orders!L$1,products!$A$1:$G$1,0))</f>
        <v>12.95</v>
      </c>
      <c r="M505" s="10">
        <f t="shared" si="21"/>
        <v>51.8</v>
      </c>
      <c r="N505" t="str">
        <f t="shared" si="22"/>
        <v>Liberica</v>
      </c>
      <c r="O505" t="str">
        <f t="shared" si="23"/>
        <v>Dark</v>
      </c>
      <c r="P505" t="str">
        <f>_xlfn.XLOOKUP(Table1[[#This Row],[Customer ID]],customers!$A$1:$A$1001,customers!$I$1:$I$1001,,0)</f>
        <v>No</v>
      </c>
    </row>
    <row r="506" spans="1:16" x14ac:dyDescent="0.25">
      <c r="A506" s="2" t="s">
        <v>3323</v>
      </c>
      <c r="B506" s="8">
        <v>43467</v>
      </c>
      <c r="C506" s="2" t="s">
        <v>3324</v>
      </c>
      <c r="D506" t="s">
        <v>6145</v>
      </c>
      <c r="E506" s="2">
        <v>3</v>
      </c>
      <c r="F506" s="2" t="str">
        <f>_xlfn.XLOOKUP(orders!C506,customers!$A$1:$A$1001,customers!$B$1:$B$1001,,0)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9">
        <f>INDEX(products!$A$1:$G$49,MATCH(orders!$D506,products!$A$1:$A$49,0),MATCH(orders!K$1,products!$A$1:$G$1,0))</f>
        <v>0.2</v>
      </c>
      <c r="L506" s="10">
        <f>INDEX(products!$A$1:$G$49,MATCH(orders!$D506,products!$A$1:$A$49,0),MATCH(orders!L$1,products!$A$1:$G$1,0))</f>
        <v>4.7549999999999999</v>
      </c>
      <c r="M506" s="10">
        <f t="shared" si="21"/>
        <v>14.265000000000001</v>
      </c>
      <c r="N506" t="str">
        <f t="shared" si="22"/>
        <v>Liberica</v>
      </c>
      <c r="O506" t="str">
        <f t="shared" si="23"/>
        <v>Light</v>
      </c>
      <c r="P506" t="str">
        <f>_xlfn.XLOOKUP(Table1[[#This Row],[Customer ID]],customers!$A$1:$A$1001,customers!$I$1:$I$1001,,0)</f>
        <v>No</v>
      </c>
    </row>
    <row r="507" spans="1:16" x14ac:dyDescent="0.25">
      <c r="A507" s="2" t="s">
        <v>3343</v>
      </c>
      <c r="B507" s="8">
        <v>44609</v>
      </c>
      <c r="C507" s="2" t="s">
        <v>3344</v>
      </c>
      <c r="D507" t="s">
        <v>6159</v>
      </c>
      <c r="E507" s="2">
        <v>6</v>
      </c>
      <c r="F507" s="2" t="str">
        <f>_xlfn.XLOOKUP(orders!C507,customers!$A$1:$A$1001,customers!$B$1:$B$1001,,0)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9">
        <f>INDEX(products!$A$1:$G$49,MATCH(orders!$D507,products!$A$1:$A$49,0),MATCH(orders!K$1,products!$A$1:$G$1,0))</f>
        <v>0.2</v>
      </c>
      <c r="L507" s="10">
        <f>INDEX(products!$A$1:$G$49,MATCH(orders!$D507,products!$A$1:$A$49,0),MATCH(orders!L$1,products!$A$1:$G$1,0))</f>
        <v>4.3650000000000002</v>
      </c>
      <c r="M507" s="10">
        <f t="shared" si="21"/>
        <v>26.19</v>
      </c>
      <c r="N507" t="str">
        <f t="shared" si="22"/>
        <v>Liberica</v>
      </c>
      <c r="O507" t="str">
        <f t="shared" si="23"/>
        <v>Medium</v>
      </c>
      <c r="P507" t="str">
        <f>_xlfn.XLOOKUP(Table1[[#This Row],[Customer ID]],customers!$A$1:$A$1001,customers!$I$1:$I$1001,,0)</f>
        <v>No</v>
      </c>
    </row>
    <row r="508" spans="1:16" x14ac:dyDescent="0.25">
      <c r="A508" s="2" t="s">
        <v>3349</v>
      </c>
      <c r="B508" s="8">
        <v>44184</v>
      </c>
      <c r="C508" s="2" t="s">
        <v>3350</v>
      </c>
      <c r="D508" t="s">
        <v>6140</v>
      </c>
      <c r="E508" s="2">
        <v>2</v>
      </c>
      <c r="F508" s="2" t="str">
        <f>_xlfn.XLOOKUP(orders!C508,customers!$A$1:$A$1001,customers!$B$1:$B$1001,,0)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9">
        <f>INDEX(products!$A$1:$G$49,MATCH(orders!$D508,products!$A$1:$A$49,0),MATCH(orders!K$1,products!$A$1:$G$1,0))</f>
        <v>1</v>
      </c>
      <c r="L508" s="10">
        <f>INDEX(products!$A$1:$G$49,MATCH(orders!$D508,products!$A$1:$A$49,0),MATCH(orders!L$1,products!$A$1:$G$1,0))</f>
        <v>12.95</v>
      </c>
      <c r="M508" s="10">
        <f t="shared" si="21"/>
        <v>25.9</v>
      </c>
      <c r="N508" t="str">
        <f t="shared" si="22"/>
        <v>Arabica</v>
      </c>
      <c r="O508" t="str">
        <f t="shared" si="23"/>
        <v>Light</v>
      </c>
      <c r="P508" t="str">
        <f>_xlfn.XLOOKUP(Table1[[#This Row],[Customer ID]],customers!$A$1:$A$1001,customers!$I$1:$I$1001,,0)</f>
        <v>Yes</v>
      </c>
    </row>
    <row r="509" spans="1:16" x14ac:dyDescent="0.25">
      <c r="A509" s="2" t="s">
        <v>3355</v>
      </c>
      <c r="B509" s="8">
        <v>43516</v>
      </c>
      <c r="C509" s="2" t="s">
        <v>3356</v>
      </c>
      <c r="D509" t="s">
        <v>6182</v>
      </c>
      <c r="E509" s="2">
        <v>3</v>
      </c>
      <c r="F509" s="2" t="str">
        <f>_xlfn.XLOOKUP(orders!C509,customers!$A$1:$A$1001,customers!$B$1:$B$1001,,0)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9">
        <f>INDEX(products!$A$1:$G$49,MATCH(orders!$D509,products!$A$1:$A$49,0),MATCH(orders!K$1,products!$A$1:$G$1,0))</f>
        <v>2.5</v>
      </c>
      <c r="L509" s="10">
        <f>INDEX(products!$A$1:$G$49,MATCH(orders!$D509,products!$A$1:$A$49,0),MATCH(orders!L$1,products!$A$1:$G$1,0))</f>
        <v>29.784999999999997</v>
      </c>
      <c r="M509" s="10">
        <f t="shared" si="21"/>
        <v>89.35499999999999</v>
      </c>
      <c r="N509" t="str">
        <f t="shared" si="22"/>
        <v>Arabica</v>
      </c>
      <c r="O509" t="str">
        <f t="shared" si="23"/>
        <v>Light</v>
      </c>
      <c r="P509" t="str">
        <f>_xlfn.XLOOKUP(Table1[[#This Row],[Customer ID]],customers!$A$1:$A$1001,customers!$I$1:$I$1001,,0)</f>
        <v>Yes</v>
      </c>
    </row>
    <row r="510" spans="1:16" x14ac:dyDescent="0.25">
      <c r="A510" s="2" t="s">
        <v>3361</v>
      </c>
      <c r="B510" s="8">
        <v>44210</v>
      </c>
      <c r="C510" s="2" t="s">
        <v>3362</v>
      </c>
      <c r="D510" t="s">
        <v>6169</v>
      </c>
      <c r="E510" s="2">
        <v>6</v>
      </c>
      <c r="F510" s="2" t="str">
        <f>_xlfn.XLOOKUP(orders!C510,customers!$A$1:$A$1001,customers!$B$1:$B$1001,,0)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9">
        <f>INDEX(products!$A$1:$G$49,MATCH(orders!$D510,products!$A$1:$A$49,0),MATCH(orders!K$1,products!$A$1:$G$1,0))</f>
        <v>0.5</v>
      </c>
      <c r="L510" s="10">
        <f>INDEX(products!$A$1:$G$49,MATCH(orders!$D510,products!$A$1:$A$49,0),MATCH(orders!L$1,products!$A$1:$G$1,0))</f>
        <v>7.77</v>
      </c>
      <c r="M510" s="10">
        <f t="shared" si="21"/>
        <v>46.62</v>
      </c>
      <c r="N510" t="str">
        <f t="shared" si="22"/>
        <v>Liberica</v>
      </c>
      <c r="O510" t="str">
        <f t="shared" si="23"/>
        <v>Dark</v>
      </c>
      <c r="P510" t="str">
        <f>_xlfn.XLOOKUP(Table1[[#This Row],[Customer ID]],customers!$A$1:$A$1001,customers!$I$1:$I$1001,,0)</f>
        <v>No</v>
      </c>
    </row>
    <row r="511" spans="1:16" x14ac:dyDescent="0.25">
      <c r="A511" s="2" t="s">
        <v>3367</v>
      </c>
      <c r="B511" s="8">
        <v>43785</v>
      </c>
      <c r="C511" s="2" t="s">
        <v>3368</v>
      </c>
      <c r="D511" t="s">
        <v>6147</v>
      </c>
      <c r="E511" s="2">
        <v>3</v>
      </c>
      <c r="F511" s="2" t="str">
        <f>_xlfn.XLOOKUP(orders!C511,customers!$A$1:$A$1001,customers!$B$1:$B$1001,,0)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9">
        <f>INDEX(products!$A$1:$G$49,MATCH(orders!$D511,products!$A$1:$A$49,0),MATCH(orders!K$1,products!$A$1:$G$1,0))</f>
        <v>1</v>
      </c>
      <c r="L511" s="10">
        <f>INDEX(products!$A$1:$G$49,MATCH(orders!$D511,products!$A$1:$A$49,0),MATCH(orders!L$1,products!$A$1:$G$1,0))</f>
        <v>9.9499999999999993</v>
      </c>
      <c r="M511" s="10">
        <f t="shared" si="21"/>
        <v>29.849999999999998</v>
      </c>
      <c r="N511" t="str">
        <f t="shared" si="22"/>
        <v>Arabica</v>
      </c>
      <c r="O511" t="str">
        <f t="shared" si="23"/>
        <v>Dark</v>
      </c>
      <c r="P511" t="str">
        <f>_xlfn.XLOOKUP(Table1[[#This Row],[Customer ID]],customers!$A$1:$A$1001,customers!$I$1:$I$1001,,0)</f>
        <v>Yes</v>
      </c>
    </row>
    <row r="512" spans="1:16" x14ac:dyDescent="0.25">
      <c r="A512" s="2" t="s">
        <v>3373</v>
      </c>
      <c r="B512" s="8">
        <v>43803</v>
      </c>
      <c r="C512" s="2" t="s">
        <v>3374</v>
      </c>
      <c r="D512" t="s">
        <v>6178</v>
      </c>
      <c r="E512" s="2">
        <v>3</v>
      </c>
      <c r="F512" s="2" t="str">
        <f>_xlfn.XLOOKUP(orders!C512,customers!$A$1:$A$1001,customers!$B$1:$B$1001,,0)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9">
        <f>INDEX(products!$A$1:$G$49,MATCH(orders!$D512,products!$A$1:$A$49,0),MATCH(orders!K$1,products!$A$1:$G$1,0))</f>
        <v>0.2</v>
      </c>
      <c r="L512" s="10">
        <f>INDEX(products!$A$1:$G$49,MATCH(orders!$D512,products!$A$1:$A$49,0),MATCH(orders!L$1,products!$A$1:$G$1,0))</f>
        <v>3.5849999999999995</v>
      </c>
      <c r="M512" s="10">
        <f t="shared" si="21"/>
        <v>10.754999999999999</v>
      </c>
      <c r="N512" t="str">
        <f t="shared" si="22"/>
        <v>Robusta</v>
      </c>
      <c r="O512" t="str">
        <f t="shared" si="23"/>
        <v>Light</v>
      </c>
      <c r="P512" t="str">
        <f>_xlfn.XLOOKUP(Table1[[#This Row],[Customer ID]],customers!$A$1:$A$1001,customers!$I$1:$I$1001,,0)</f>
        <v>Yes</v>
      </c>
    </row>
    <row r="513" spans="1:16" x14ac:dyDescent="0.25">
      <c r="A513" s="2" t="s">
        <v>3379</v>
      </c>
      <c r="B513" s="8">
        <v>44043</v>
      </c>
      <c r="C513" s="2" t="s">
        <v>3380</v>
      </c>
      <c r="D513" t="s">
        <v>6152</v>
      </c>
      <c r="E513" s="2">
        <v>4</v>
      </c>
      <c r="F513" s="2" t="str">
        <f>_xlfn.XLOOKUP(orders!C513,customers!$A$1:$A$1001,customers!$B$1:$B$1001,,0)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9">
        <f>INDEX(products!$A$1:$G$49,MATCH(orders!$D513,products!$A$1:$A$49,0),MATCH(orders!K$1,products!$A$1:$G$1,0))</f>
        <v>0.2</v>
      </c>
      <c r="L513" s="10">
        <f>INDEX(products!$A$1:$G$49,MATCH(orders!$D513,products!$A$1:$A$49,0),MATCH(orders!L$1,products!$A$1:$G$1,0))</f>
        <v>3.375</v>
      </c>
      <c r="M513" s="10">
        <f t="shared" si="21"/>
        <v>13.5</v>
      </c>
      <c r="N513" t="str">
        <f t="shared" si="22"/>
        <v>Arabica</v>
      </c>
      <c r="O513" t="str">
        <f t="shared" si="23"/>
        <v>Medium</v>
      </c>
      <c r="P513" t="str">
        <f>_xlfn.XLOOKUP(Table1[[#This Row],[Customer ID]],customers!$A$1:$A$1001,customers!$I$1:$I$1001,,0)</f>
        <v>Yes</v>
      </c>
    </row>
    <row r="514" spans="1:16" x14ac:dyDescent="0.25">
      <c r="A514" s="2" t="s">
        <v>3385</v>
      </c>
      <c r="B514" s="8">
        <v>43535</v>
      </c>
      <c r="C514" s="2" t="s">
        <v>3386</v>
      </c>
      <c r="D514" t="s">
        <v>6170</v>
      </c>
      <c r="E514" s="2">
        <v>3</v>
      </c>
      <c r="F514" s="2" t="str">
        <f>_xlfn.XLOOKUP(orders!C514,customers!$A$1:$A$1001,customers!$B$1:$B$1001,,0)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9">
        <f>INDEX(products!$A$1:$G$49,MATCH(orders!$D514,products!$A$1:$A$49,0),MATCH(orders!K$1,products!$A$1:$G$1,0))</f>
        <v>1</v>
      </c>
      <c r="L514" s="10">
        <f>INDEX(products!$A$1:$G$49,MATCH(orders!$D514,products!$A$1:$A$49,0),MATCH(orders!L$1,products!$A$1:$G$1,0))</f>
        <v>15.85</v>
      </c>
      <c r="M514" s="10">
        <f t="shared" si="21"/>
        <v>47.55</v>
      </c>
      <c r="N514" t="str">
        <f t="shared" si="22"/>
        <v>Liberica</v>
      </c>
      <c r="O514" t="str">
        <f t="shared" si="23"/>
        <v>Light</v>
      </c>
      <c r="P514" t="str">
        <f>_xlfn.XLOOKUP(Table1[[#This Row],[Customer ID]],customers!$A$1:$A$1001,customers!$I$1:$I$1001,,0)</f>
        <v>No</v>
      </c>
    </row>
    <row r="515" spans="1:16" x14ac:dyDescent="0.25">
      <c r="A515" s="2" t="s">
        <v>3391</v>
      </c>
      <c r="B515" s="8">
        <v>44691</v>
      </c>
      <c r="C515" s="2" t="s">
        <v>3392</v>
      </c>
      <c r="D515" t="s">
        <v>6170</v>
      </c>
      <c r="E515" s="2">
        <v>5</v>
      </c>
      <c r="F515" s="2" t="str">
        <f>_xlfn.XLOOKUP(orders!C515,customers!$A$1:$A$1001,customers!$B$1:$B$1001,,0)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9">
        <f>INDEX(products!$A$1:$G$49,MATCH(orders!$D515,products!$A$1:$A$49,0),MATCH(orders!K$1,products!$A$1:$G$1,0))</f>
        <v>1</v>
      </c>
      <c r="L515" s="10">
        <f>INDEX(products!$A$1:$G$49,MATCH(orders!$D515,products!$A$1:$A$49,0),MATCH(orders!L$1,products!$A$1:$G$1,0))</f>
        <v>15.85</v>
      </c>
      <c r="M515" s="10">
        <f t="shared" ref="M515:M578" si="24">L515*E515</f>
        <v>79.25</v>
      </c>
      <c r="N515" t="str">
        <f t="shared" ref="N515:N578" si="25">IF(I515="Rob", "Robusta", IF(I515="Exc","Excelsa", IF(I515="Ara","Arabica", IF(I515="Lib","Liberica",""))))</f>
        <v>Liberica</v>
      </c>
      <c r="O515" t="str">
        <f t="shared" ref="O515:O578" si="26">IF(J515="M", "Medium", IF(J515="L","Light",IF(J515="D","Dark","")))</f>
        <v>Light</v>
      </c>
      <c r="P515" t="str">
        <f>_xlfn.XLOOKUP(Table1[[#This Row],[Customer ID]],customers!$A$1:$A$1001,customers!$I$1:$I$1001,,0)</f>
        <v>No</v>
      </c>
    </row>
    <row r="516" spans="1:16" x14ac:dyDescent="0.25">
      <c r="A516" s="2" t="s">
        <v>3396</v>
      </c>
      <c r="B516" s="8">
        <v>44555</v>
      </c>
      <c r="C516" s="2" t="s">
        <v>3397</v>
      </c>
      <c r="D516" t="s">
        <v>6159</v>
      </c>
      <c r="E516" s="2">
        <v>6</v>
      </c>
      <c r="F516" s="2" t="str">
        <f>_xlfn.XLOOKUP(orders!C516,customers!$A$1:$A$1001,customers!$B$1:$B$1001,,0)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9">
        <f>INDEX(products!$A$1:$G$49,MATCH(orders!$D516,products!$A$1:$A$49,0),MATCH(orders!K$1,products!$A$1:$G$1,0))</f>
        <v>0.2</v>
      </c>
      <c r="L516" s="10">
        <f>INDEX(products!$A$1:$G$49,MATCH(orders!$D516,products!$A$1:$A$49,0),MATCH(orders!L$1,products!$A$1:$G$1,0))</f>
        <v>4.3650000000000002</v>
      </c>
      <c r="M516" s="10">
        <f t="shared" si="24"/>
        <v>26.19</v>
      </c>
      <c r="N516" t="str">
        <f t="shared" si="25"/>
        <v>Liberica</v>
      </c>
      <c r="O516" t="str">
        <f t="shared" si="26"/>
        <v>Medium</v>
      </c>
      <c r="P516" t="str">
        <f>_xlfn.XLOOKUP(Table1[[#This Row],[Customer ID]],customers!$A$1:$A$1001,customers!$I$1:$I$1001,,0)</f>
        <v>Yes</v>
      </c>
    </row>
    <row r="517" spans="1:16" x14ac:dyDescent="0.25">
      <c r="A517" s="2" t="s">
        <v>3402</v>
      </c>
      <c r="B517" s="8">
        <v>44673</v>
      </c>
      <c r="C517" s="2" t="s">
        <v>3403</v>
      </c>
      <c r="D517" t="s">
        <v>6173</v>
      </c>
      <c r="E517" s="2">
        <v>3</v>
      </c>
      <c r="F517" s="2" t="str">
        <f>_xlfn.XLOOKUP(orders!C517,customers!$A$1:$A$1001,customers!$B$1:$B$1001,,0)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9">
        <f>INDEX(products!$A$1:$G$49,MATCH(orders!$D517,products!$A$1:$A$49,0),MATCH(orders!K$1,products!$A$1:$G$1,0))</f>
        <v>0.5</v>
      </c>
      <c r="L517" s="10">
        <f>INDEX(products!$A$1:$G$49,MATCH(orders!$D517,products!$A$1:$A$49,0),MATCH(orders!L$1,products!$A$1:$G$1,0))</f>
        <v>7.169999999999999</v>
      </c>
      <c r="M517" s="10">
        <f t="shared" si="24"/>
        <v>21.509999999999998</v>
      </c>
      <c r="N517" t="str">
        <f t="shared" si="25"/>
        <v>Robusta</v>
      </c>
      <c r="O517" t="str">
        <f t="shared" si="26"/>
        <v>Light</v>
      </c>
      <c r="P517" t="str">
        <f>_xlfn.XLOOKUP(Table1[[#This Row],[Customer ID]],customers!$A$1:$A$1001,customers!$I$1:$I$1001,,0)</f>
        <v>No</v>
      </c>
    </row>
    <row r="518" spans="1:16" x14ac:dyDescent="0.25">
      <c r="A518" s="2" t="s">
        <v>3408</v>
      </c>
      <c r="B518" s="8">
        <v>44723</v>
      </c>
      <c r="C518" s="2" t="s">
        <v>3409</v>
      </c>
      <c r="D518" t="s">
        <v>6149</v>
      </c>
      <c r="E518" s="2">
        <v>5</v>
      </c>
      <c r="F518" s="2" t="str">
        <f>_xlfn.XLOOKUP(orders!C518,customers!$A$1:$A$1001,customers!$B$1:$B$1001,,0)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9">
        <f>INDEX(products!$A$1:$G$49,MATCH(orders!$D518,products!$A$1:$A$49,0),MATCH(orders!K$1,products!$A$1:$G$1,0))</f>
        <v>2.5</v>
      </c>
      <c r="L518" s="10">
        <f>INDEX(products!$A$1:$G$49,MATCH(orders!$D518,products!$A$1:$A$49,0),MATCH(orders!L$1,products!$A$1:$G$1,0))</f>
        <v>20.584999999999997</v>
      </c>
      <c r="M518" s="10">
        <f t="shared" si="24"/>
        <v>102.92499999999998</v>
      </c>
      <c r="N518" t="str">
        <f t="shared" si="25"/>
        <v>Robusta</v>
      </c>
      <c r="O518" t="str">
        <f t="shared" si="26"/>
        <v>Dark</v>
      </c>
      <c r="P518" t="str">
        <f>_xlfn.XLOOKUP(Table1[[#This Row],[Customer ID]],customers!$A$1:$A$1001,customers!$I$1:$I$1001,,0)</f>
        <v>Yes</v>
      </c>
    </row>
    <row r="519" spans="1:16" x14ac:dyDescent="0.25">
      <c r="A519" s="2" t="s">
        <v>3413</v>
      </c>
      <c r="B519" s="8">
        <v>44678</v>
      </c>
      <c r="C519" s="2" t="s">
        <v>3414</v>
      </c>
      <c r="D519" t="s">
        <v>6150</v>
      </c>
      <c r="E519" s="2">
        <v>2</v>
      </c>
      <c r="F519" s="2" t="str">
        <f>_xlfn.XLOOKUP(orders!C519,customers!$A$1:$A$1001,customers!$B$1:$B$1001,,0)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9">
        <f>INDEX(products!$A$1:$G$49,MATCH(orders!$D519,products!$A$1:$A$49,0),MATCH(orders!K$1,products!$A$1:$G$1,0))</f>
        <v>0.2</v>
      </c>
      <c r="L519" s="10">
        <f>INDEX(products!$A$1:$G$49,MATCH(orders!$D519,products!$A$1:$A$49,0),MATCH(orders!L$1,products!$A$1:$G$1,0))</f>
        <v>3.8849999999999998</v>
      </c>
      <c r="M519" s="10">
        <f t="shared" si="24"/>
        <v>7.77</v>
      </c>
      <c r="N519" t="str">
        <f t="shared" si="25"/>
        <v>Liberica</v>
      </c>
      <c r="O519" t="str">
        <f t="shared" si="26"/>
        <v>Dark</v>
      </c>
      <c r="P519" t="str">
        <f>_xlfn.XLOOKUP(Table1[[#This Row],[Customer ID]],customers!$A$1:$A$1001,customers!$I$1:$I$1001,,0)</f>
        <v>No</v>
      </c>
    </row>
    <row r="520" spans="1:16" x14ac:dyDescent="0.25">
      <c r="A520" s="2" t="s">
        <v>3418</v>
      </c>
      <c r="B520" s="8">
        <v>44194</v>
      </c>
      <c r="C520" s="2" t="s">
        <v>3419</v>
      </c>
      <c r="D520" t="s">
        <v>6185</v>
      </c>
      <c r="E520" s="2">
        <v>5</v>
      </c>
      <c r="F520" s="2" t="str">
        <f>_xlfn.XLOOKUP(orders!C520,customers!$A$1:$A$1001,customers!$B$1:$B$1001,,0)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9">
        <f>INDEX(products!$A$1:$G$49,MATCH(orders!$D520,products!$A$1:$A$49,0),MATCH(orders!K$1,products!$A$1:$G$1,0))</f>
        <v>2.5</v>
      </c>
      <c r="L520" s="10">
        <f>INDEX(products!$A$1:$G$49,MATCH(orders!$D520,products!$A$1:$A$49,0),MATCH(orders!L$1,products!$A$1:$G$1,0))</f>
        <v>27.945</v>
      </c>
      <c r="M520" s="10">
        <f t="shared" si="24"/>
        <v>139.72499999999999</v>
      </c>
      <c r="N520" t="str">
        <f t="shared" si="25"/>
        <v>Excelsa</v>
      </c>
      <c r="O520" t="str">
        <f t="shared" si="26"/>
        <v>Dark</v>
      </c>
      <c r="P520" t="str">
        <f>_xlfn.XLOOKUP(Table1[[#This Row],[Customer ID]],customers!$A$1:$A$1001,customers!$I$1:$I$1001,,0)</f>
        <v>No</v>
      </c>
    </row>
    <row r="521" spans="1:16" x14ac:dyDescent="0.25">
      <c r="A521" s="2" t="s">
        <v>3424</v>
      </c>
      <c r="B521" s="8">
        <v>44026</v>
      </c>
      <c r="C521" s="2" t="s">
        <v>3368</v>
      </c>
      <c r="D521" t="s">
        <v>6158</v>
      </c>
      <c r="E521" s="2">
        <v>2</v>
      </c>
      <c r="F521" s="2" t="str">
        <f>_xlfn.XLOOKUP(orders!C521,customers!$A$1:$A$1001,customers!$B$1:$B$1001,,0)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9">
        <f>INDEX(products!$A$1:$G$49,MATCH(orders!$D521,products!$A$1:$A$49,0),MATCH(orders!K$1,products!$A$1:$G$1,0))</f>
        <v>0.5</v>
      </c>
      <c r="L521" s="10">
        <f>INDEX(products!$A$1:$G$49,MATCH(orders!$D521,products!$A$1:$A$49,0),MATCH(orders!L$1,products!$A$1:$G$1,0))</f>
        <v>5.97</v>
      </c>
      <c r="M521" s="10">
        <f t="shared" si="24"/>
        <v>11.94</v>
      </c>
      <c r="N521" t="str">
        <f t="shared" si="25"/>
        <v>Arabica</v>
      </c>
      <c r="O521" t="str">
        <f t="shared" si="26"/>
        <v>Dark</v>
      </c>
      <c r="P521" t="str">
        <f>_xlfn.XLOOKUP(Table1[[#This Row],[Customer ID]],customers!$A$1:$A$1001,customers!$I$1:$I$1001,,0)</f>
        <v>Yes</v>
      </c>
    </row>
    <row r="522" spans="1:16" x14ac:dyDescent="0.25">
      <c r="A522" s="2" t="s">
        <v>3430</v>
      </c>
      <c r="B522" s="8">
        <v>44446</v>
      </c>
      <c r="C522" s="2" t="s">
        <v>3431</v>
      </c>
      <c r="D522" t="s">
        <v>6150</v>
      </c>
      <c r="E522" s="2">
        <v>1</v>
      </c>
      <c r="F522" s="2" t="str">
        <f>_xlfn.XLOOKUP(orders!C522,customers!$A$1:$A$1001,customers!$B$1:$B$1001,,0)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9">
        <f>INDEX(products!$A$1:$G$49,MATCH(orders!$D522,products!$A$1:$A$49,0),MATCH(orders!K$1,products!$A$1:$G$1,0))</f>
        <v>0.2</v>
      </c>
      <c r="L522" s="10">
        <f>INDEX(products!$A$1:$G$49,MATCH(orders!$D522,products!$A$1:$A$49,0),MATCH(orders!L$1,products!$A$1:$G$1,0))</f>
        <v>3.8849999999999998</v>
      </c>
      <c r="M522" s="10">
        <f t="shared" si="24"/>
        <v>3.8849999999999998</v>
      </c>
      <c r="N522" t="str">
        <f t="shared" si="25"/>
        <v>Liberica</v>
      </c>
      <c r="O522" t="str">
        <f t="shared" si="26"/>
        <v>Dark</v>
      </c>
      <c r="P522" t="str">
        <f>_xlfn.XLOOKUP(Table1[[#This Row],[Customer ID]],customers!$A$1:$A$1001,customers!$I$1:$I$1001,,0)</f>
        <v>No</v>
      </c>
    </row>
    <row r="523" spans="1:16" x14ac:dyDescent="0.25">
      <c r="A523" s="2" t="s">
        <v>3430</v>
      </c>
      <c r="B523" s="8">
        <v>44446</v>
      </c>
      <c r="C523" s="2" t="s">
        <v>3431</v>
      </c>
      <c r="D523" t="s">
        <v>6138</v>
      </c>
      <c r="E523" s="2">
        <v>4</v>
      </c>
      <c r="F523" s="2" t="str">
        <f>_xlfn.XLOOKUP(orders!C523,customers!$A$1:$A$1001,customers!$B$1:$B$1001,,0)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9">
        <f>INDEX(products!$A$1:$G$49,MATCH(orders!$D523,products!$A$1:$A$49,0),MATCH(orders!K$1,products!$A$1:$G$1,0))</f>
        <v>1</v>
      </c>
      <c r="L523" s="10">
        <f>INDEX(products!$A$1:$G$49,MATCH(orders!$D523,products!$A$1:$A$49,0),MATCH(orders!L$1,products!$A$1:$G$1,0))</f>
        <v>9.9499999999999993</v>
      </c>
      <c r="M523" s="10">
        <f t="shared" si="24"/>
        <v>39.799999999999997</v>
      </c>
      <c r="N523" t="str">
        <f t="shared" si="25"/>
        <v>Robusta</v>
      </c>
      <c r="O523" t="str">
        <f t="shared" si="26"/>
        <v>Medium</v>
      </c>
      <c r="P523" t="str">
        <f>_xlfn.XLOOKUP(Table1[[#This Row],[Customer ID]],customers!$A$1:$A$1001,customers!$I$1:$I$1001,,0)</f>
        <v>No</v>
      </c>
    </row>
    <row r="524" spans="1:16" x14ac:dyDescent="0.25">
      <c r="A524" s="2" t="s">
        <v>3441</v>
      </c>
      <c r="B524" s="8">
        <v>43625</v>
      </c>
      <c r="C524" s="2" t="s">
        <v>3442</v>
      </c>
      <c r="D524" t="s">
        <v>6146</v>
      </c>
      <c r="E524" s="2">
        <v>5</v>
      </c>
      <c r="F524" s="2" t="str">
        <f>_xlfn.XLOOKUP(orders!C524,customers!$A$1:$A$1001,customers!$B$1:$B$1001,,0)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9">
        <f>INDEX(products!$A$1:$G$49,MATCH(orders!$D524,products!$A$1:$A$49,0),MATCH(orders!K$1,products!$A$1:$G$1,0))</f>
        <v>0.5</v>
      </c>
      <c r="L524" s="10">
        <f>INDEX(products!$A$1:$G$49,MATCH(orders!$D524,products!$A$1:$A$49,0),MATCH(orders!L$1,products!$A$1:$G$1,0))</f>
        <v>5.97</v>
      </c>
      <c r="M524" s="10">
        <f t="shared" si="24"/>
        <v>29.849999999999998</v>
      </c>
      <c r="N524" t="str">
        <f t="shared" si="25"/>
        <v>Robusta</v>
      </c>
      <c r="O524" t="str">
        <f t="shared" si="26"/>
        <v>Medium</v>
      </c>
      <c r="P524" t="str">
        <f>_xlfn.XLOOKUP(Table1[[#This Row],[Customer ID]],customers!$A$1:$A$1001,customers!$I$1:$I$1001,,0)</f>
        <v>No</v>
      </c>
    </row>
    <row r="525" spans="1:16" x14ac:dyDescent="0.25">
      <c r="A525" s="2" t="s">
        <v>3447</v>
      </c>
      <c r="B525" s="8">
        <v>44129</v>
      </c>
      <c r="C525" s="2" t="s">
        <v>3448</v>
      </c>
      <c r="D525" t="s">
        <v>6165</v>
      </c>
      <c r="E525" s="2">
        <v>1</v>
      </c>
      <c r="F525" s="2" t="str">
        <f>_xlfn.XLOOKUP(orders!C525,customers!$A$1:$A$1001,customers!$B$1:$B$1001,,0)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9">
        <f>INDEX(products!$A$1:$G$49,MATCH(orders!$D525,products!$A$1:$A$49,0),MATCH(orders!K$1,products!$A$1:$G$1,0))</f>
        <v>2.5</v>
      </c>
      <c r="L525" s="10">
        <f>INDEX(products!$A$1:$G$49,MATCH(orders!$D525,products!$A$1:$A$49,0),MATCH(orders!L$1,products!$A$1:$G$1,0))</f>
        <v>29.784999999999997</v>
      </c>
      <c r="M525" s="10">
        <f t="shared" si="24"/>
        <v>29.784999999999997</v>
      </c>
      <c r="N525" t="str">
        <f t="shared" si="25"/>
        <v>Liberica</v>
      </c>
      <c r="O525" t="str">
        <f t="shared" si="26"/>
        <v>Dark</v>
      </c>
      <c r="P525" t="str">
        <f>_xlfn.XLOOKUP(Table1[[#This Row],[Customer ID]],customers!$A$1:$A$1001,customers!$I$1:$I$1001,,0)</f>
        <v>No</v>
      </c>
    </row>
    <row r="526" spans="1:16" x14ac:dyDescent="0.25">
      <c r="A526" s="2" t="s">
        <v>3453</v>
      </c>
      <c r="B526" s="8">
        <v>44255</v>
      </c>
      <c r="C526" s="2" t="s">
        <v>3454</v>
      </c>
      <c r="D526" t="s">
        <v>6164</v>
      </c>
      <c r="E526" s="2">
        <v>2</v>
      </c>
      <c r="F526" s="2" t="str">
        <f>_xlfn.XLOOKUP(orders!C526,customers!$A$1:$A$1001,customers!$B$1:$B$1001,,0)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9">
        <f>INDEX(products!$A$1:$G$49,MATCH(orders!$D526,products!$A$1:$A$49,0),MATCH(orders!K$1,products!$A$1:$G$1,0))</f>
        <v>2.5</v>
      </c>
      <c r="L526" s="10">
        <f>INDEX(products!$A$1:$G$49,MATCH(orders!$D526,products!$A$1:$A$49,0),MATCH(orders!L$1,products!$A$1:$G$1,0))</f>
        <v>36.454999999999998</v>
      </c>
      <c r="M526" s="10">
        <f t="shared" si="24"/>
        <v>72.91</v>
      </c>
      <c r="N526" t="str">
        <f t="shared" si="25"/>
        <v>Liberica</v>
      </c>
      <c r="O526" t="str">
        <f t="shared" si="26"/>
        <v>Light</v>
      </c>
      <c r="P526" t="str">
        <f>_xlfn.XLOOKUP(Table1[[#This Row],[Customer ID]],customers!$A$1:$A$1001,customers!$I$1:$I$1001,,0)</f>
        <v>No</v>
      </c>
    </row>
    <row r="527" spans="1:16" x14ac:dyDescent="0.25">
      <c r="A527" s="2" t="s">
        <v>3458</v>
      </c>
      <c r="B527" s="8">
        <v>44038</v>
      </c>
      <c r="C527" s="2" t="s">
        <v>3459</v>
      </c>
      <c r="D527" t="s">
        <v>6163</v>
      </c>
      <c r="E527" s="2">
        <v>5</v>
      </c>
      <c r="F527" s="2" t="str">
        <f>_xlfn.XLOOKUP(orders!C527,customers!$A$1:$A$1001,customers!$B$1:$B$1001,,0)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9">
        <f>INDEX(products!$A$1:$G$49,MATCH(orders!$D527,products!$A$1:$A$49,0),MATCH(orders!K$1,products!$A$1:$G$1,0))</f>
        <v>0.2</v>
      </c>
      <c r="L527" s="10">
        <f>INDEX(products!$A$1:$G$49,MATCH(orders!$D527,products!$A$1:$A$49,0),MATCH(orders!L$1,products!$A$1:$G$1,0))</f>
        <v>2.6849999999999996</v>
      </c>
      <c r="M527" s="10">
        <f t="shared" si="24"/>
        <v>13.424999999999997</v>
      </c>
      <c r="N527" t="str">
        <f t="shared" si="25"/>
        <v>Robusta</v>
      </c>
      <c r="O527" t="str">
        <f t="shared" si="26"/>
        <v>Dark</v>
      </c>
      <c r="P527" t="str">
        <f>_xlfn.XLOOKUP(Table1[[#This Row],[Customer ID]],customers!$A$1:$A$1001,customers!$I$1:$I$1001,,0)</f>
        <v>Yes</v>
      </c>
    </row>
    <row r="528" spans="1:16" x14ac:dyDescent="0.25">
      <c r="A528" s="2" t="s">
        <v>3463</v>
      </c>
      <c r="B528" s="8">
        <v>44717</v>
      </c>
      <c r="C528" s="2" t="s">
        <v>3464</v>
      </c>
      <c r="D528" t="s">
        <v>6166</v>
      </c>
      <c r="E528" s="2">
        <v>4</v>
      </c>
      <c r="F528" s="2" t="str">
        <f>_xlfn.XLOOKUP(orders!C528,customers!$A$1:$A$1001,customers!$B$1:$B$1001,,0)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9">
        <f>INDEX(products!$A$1:$G$49,MATCH(orders!$D528,products!$A$1:$A$49,0),MATCH(orders!K$1,products!$A$1:$G$1,0))</f>
        <v>2.5</v>
      </c>
      <c r="L528" s="10">
        <f>INDEX(products!$A$1:$G$49,MATCH(orders!$D528,products!$A$1:$A$49,0),MATCH(orders!L$1,products!$A$1:$G$1,0))</f>
        <v>31.624999999999996</v>
      </c>
      <c r="M528" s="10">
        <f t="shared" si="24"/>
        <v>126.49999999999999</v>
      </c>
      <c r="N528" t="str">
        <f t="shared" si="25"/>
        <v>Excelsa</v>
      </c>
      <c r="O528" t="str">
        <f t="shared" si="26"/>
        <v>Medium</v>
      </c>
      <c r="P528" t="str">
        <f>_xlfn.XLOOKUP(Table1[[#This Row],[Customer ID]],customers!$A$1:$A$1001,customers!$I$1:$I$1001,,0)</f>
        <v>Yes</v>
      </c>
    </row>
    <row r="529" spans="1:16" x14ac:dyDescent="0.25">
      <c r="A529" s="2" t="s">
        <v>3469</v>
      </c>
      <c r="B529" s="8">
        <v>43517</v>
      </c>
      <c r="C529" s="2" t="s">
        <v>3470</v>
      </c>
      <c r="D529" t="s">
        <v>6139</v>
      </c>
      <c r="E529" s="2">
        <v>5</v>
      </c>
      <c r="F529" s="2" t="str">
        <f>_xlfn.XLOOKUP(orders!C529,customers!$A$1:$A$1001,customers!$B$1:$B$1001,,0)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9">
        <f>INDEX(products!$A$1:$G$49,MATCH(orders!$D529,products!$A$1:$A$49,0),MATCH(orders!K$1,products!$A$1:$G$1,0))</f>
        <v>0.5</v>
      </c>
      <c r="L529" s="10">
        <f>INDEX(products!$A$1:$G$49,MATCH(orders!$D529,products!$A$1:$A$49,0),MATCH(orders!L$1,products!$A$1:$G$1,0))</f>
        <v>8.25</v>
      </c>
      <c r="M529" s="10">
        <f t="shared" si="24"/>
        <v>41.25</v>
      </c>
      <c r="N529" t="str">
        <f t="shared" si="25"/>
        <v>Excelsa</v>
      </c>
      <c r="O529" t="str">
        <f t="shared" si="26"/>
        <v>Medium</v>
      </c>
      <c r="P529" t="str">
        <f>_xlfn.XLOOKUP(Table1[[#This Row],[Customer ID]],customers!$A$1:$A$1001,customers!$I$1:$I$1001,,0)</f>
        <v>No</v>
      </c>
    </row>
    <row r="530" spans="1:16" x14ac:dyDescent="0.25">
      <c r="A530" s="2" t="s">
        <v>3475</v>
      </c>
      <c r="B530" s="8">
        <v>43926</v>
      </c>
      <c r="C530" s="2" t="s">
        <v>3476</v>
      </c>
      <c r="D530" t="s">
        <v>6176</v>
      </c>
      <c r="E530" s="2">
        <v>6</v>
      </c>
      <c r="F530" s="2" t="str">
        <f>_xlfn.XLOOKUP(orders!C530,customers!$A$1:$A$1001,customers!$B$1:$B$1001,,0)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9">
        <f>INDEX(products!$A$1:$G$49,MATCH(orders!$D530,products!$A$1:$A$49,0),MATCH(orders!K$1,products!$A$1:$G$1,0))</f>
        <v>0.5</v>
      </c>
      <c r="L530" s="10">
        <f>INDEX(products!$A$1:$G$49,MATCH(orders!$D530,products!$A$1:$A$49,0),MATCH(orders!L$1,products!$A$1:$G$1,0))</f>
        <v>8.91</v>
      </c>
      <c r="M530" s="10">
        <f t="shared" si="24"/>
        <v>53.46</v>
      </c>
      <c r="N530" t="str">
        <f t="shared" si="25"/>
        <v>Excelsa</v>
      </c>
      <c r="O530" t="str">
        <f t="shared" si="26"/>
        <v>Light</v>
      </c>
      <c r="P530" t="str">
        <f>_xlfn.XLOOKUP(Table1[[#This Row],[Customer ID]],customers!$A$1:$A$1001,customers!$I$1:$I$1001,,0)</f>
        <v>No</v>
      </c>
    </row>
    <row r="531" spans="1:16" x14ac:dyDescent="0.25">
      <c r="A531" s="2" t="s">
        <v>3481</v>
      </c>
      <c r="B531" s="8">
        <v>43475</v>
      </c>
      <c r="C531" s="2" t="s">
        <v>3482</v>
      </c>
      <c r="D531" t="s">
        <v>6138</v>
      </c>
      <c r="E531" s="2">
        <v>6</v>
      </c>
      <c r="F531" s="2" t="str">
        <f>_xlfn.XLOOKUP(orders!C531,customers!$A$1:$A$1001,customers!$B$1:$B$1001,,0)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9">
        <f>INDEX(products!$A$1:$G$49,MATCH(orders!$D531,products!$A$1:$A$49,0),MATCH(orders!K$1,products!$A$1:$G$1,0))</f>
        <v>1</v>
      </c>
      <c r="L531" s="10">
        <f>INDEX(products!$A$1:$G$49,MATCH(orders!$D531,products!$A$1:$A$49,0),MATCH(orders!L$1,products!$A$1:$G$1,0))</f>
        <v>9.9499999999999993</v>
      </c>
      <c r="M531" s="10">
        <f t="shared" si="24"/>
        <v>59.699999999999996</v>
      </c>
      <c r="N531" t="str">
        <f t="shared" si="25"/>
        <v>Robusta</v>
      </c>
      <c r="O531" t="str">
        <f t="shared" si="26"/>
        <v>Medium</v>
      </c>
      <c r="P531" t="str">
        <f>_xlfn.XLOOKUP(Table1[[#This Row],[Customer ID]],customers!$A$1:$A$1001,customers!$I$1:$I$1001,,0)</f>
        <v>No</v>
      </c>
    </row>
    <row r="532" spans="1:16" x14ac:dyDescent="0.25">
      <c r="A532" s="2" t="s">
        <v>3487</v>
      </c>
      <c r="B532" s="8">
        <v>44663</v>
      </c>
      <c r="C532" s="2" t="s">
        <v>3488</v>
      </c>
      <c r="D532" t="s">
        <v>6138</v>
      </c>
      <c r="E532" s="2">
        <v>6</v>
      </c>
      <c r="F532" s="2" t="str">
        <f>_xlfn.XLOOKUP(orders!C532,customers!$A$1:$A$1001,customers!$B$1:$B$1001,,0)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9">
        <f>INDEX(products!$A$1:$G$49,MATCH(orders!$D532,products!$A$1:$A$49,0),MATCH(orders!K$1,products!$A$1:$G$1,0))</f>
        <v>1</v>
      </c>
      <c r="L532" s="10">
        <f>INDEX(products!$A$1:$G$49,MATCH(orders!$D532,products!$A$1:$A$49,0),MATCH(orders!L$1,products!$A$1:$G$1,0))</f>
        <v>9.9499999999999993</v>
      </c>
      <c r="M532" s="10">
        <f t="shared" si="24"/>
        <v>59.699999999999996</v>
      </c>
      <c r="N532" t="str">
        <f t="shared" si="25"/>
        <v>Robusta</v>
      </c>
      <c r="O532" t="str">
        <f t="shared" si="26"/>
        <v>Medium</v>
      </c>
      <c r="P532" t="str">
        <f>_xlfn.XLOOKUP(Table1[[#This Row],[Customer ID]],customers!$A$1:$A$1001,customers!$I$1:$I$1001,,0)</f>
        <v>No</v>
      </c>
    </row>
    <row r="533" spans="1:16" x14ac:dyDescent="0.25">
      <c r="A533" s="2" t="s">
        <v>3493</v>
      </c>
      <c r="B533" s="8">
        <v>44591</v>
      </c>
      <c r="C533" s="2" t="s">
        <v>3494</v>
      </c>
      <c r="D533" t="s">
        <v>6177</v>
      </c>
      <c r="E533" s="2">
        <v>5</v>
      </c>
      <c r="F533" s="2" t="str">
        <f>_xlfn.XLOOKUP(orders!C533,customers!$A$1:$A$1001,customers!$B$1:$B$1001,,0)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9">
        <f>INDEX(products!$A$1:$G$49,MATCH(orders!$D533,products!$A$1:$A$49,0),MATCH(orders!K$1,products!$A$1:$G$1,0))</f>
        <v>1</v>
      </c>
      <c r="L533" s="10">
        <f>INDEX(products!$A$1:$G$49,MATCH(orders!$D533,products!$A$1:$A$49,0),MATCH(orders!L$1,products!$A$1:$G$1,0))</f>
        <v>8.9499999999999993</v>
      </c>
      <c r="M533" s="10">
        <f t="shared" si="24"/>
        <v>44.75</v>
      </c>
      <c r="N533" t="str">
        <f t="shared" si="25"/>
        <v>Robusta</v>
      </c>
      <c r="O533" t="str">
        <f t="shared" si="26"/>
        <v>Dark</v>
      </c>
      <c r="P533" t="str">
        <f>_xlfn.XLOOKUP(Table1[[#This Row],[Customer ID]],customers!$A$1:$A$1001,customers!$I$1:$I$1001,,0)</f>
        <v>No</v>
      </c>
    </row>
    <row r="534" spans="1:16" x14ac:dyDescent="0.25">
      <c r="A534" s="2" t="s">
        <v>3499</v>
      </c>
      <c r="B534" s="8">
        <v>44330</v>
      </c>
      <c r="C534" s="2" t="s">
        <v>3500</v>
      </c>
      <c r="D534" t="s">
        <v>6139</v>
      </c>
      <c r="E534" s="2">
        <v>2</v>
      </c>
      <c r="F534" s="2" t="str">
        <f>_xlfn.XLOOKUP(orders!C534,customers!$A$1:$A$1001,customers!$B$1:$B$1001,,0)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9">
        <f>INDEX(products!$A$1:$G$49,MATCH(orders!$D534,products!$A$1:$A$49,0),MATCH(orders!K$1,products!$A$1:$G$1,0))</f>
        <v>0.5</v>
      </c>
      <c r="L534" s="10">
        <f>INDEX(products!$A$1:$G$49,MATCH(orders!$D534,products!$A$1:$A$49,0),MATCH(orders!L$1,products!$A$1:$G$1,0))</f>
        <v>8.25</v>
      </c>
      <c r="M534" s="10">
        <f t="shared" si="24"/>
        <v>16.5</v>
      </c>
      <c r="N534" t="str">
        <f t="shared" si="25"/>
        <v>Excelsa</v>
      </c>
      <c r="O534" t="str">
        <f t="shared" si="26"/>
        <v>Medium</v>
      </c>
      <c r="P534" t="str">
        <f>_xlfn.XLOOKUP(Table1[[#This Row],[Customer ID]],customers!$A$1:$A$1001,customers!$I$1:$I$1001,,0)</f>
        <v>Yes</v>
      </c>
    </row>
    <row r="535" spans="1:16" x14ac:dyDescent="0.25">
      <c r="A535" s="2" t="s">
        <v>3505</v>
      </c>
      <c r="B535" s="8">
        <v>44724</v>
      </c>
      <c r="C535" s="2" t="s">
        <v>3506</v>
      </c>
      <c r="D535" t="s">
        <v>6172</v>
      </c>
      <c r="E535" s="2">
        <v>4</v>
      </c>
      <c r="F535" s="2" t="str">
        <f>_xlfn.XLOOKUP(orders!C535,customers!$A$1:$A$1001,customers!$B$1:$B$1001,,0)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9">
        <f>INDEX(products!$A$1:$G$49,MATCH(orders!$D535,products!$A$1:$A$49,0),MATCH(orders!K$1,products!$A$1:$G$1,0))</f>
        <v>0.5</v>
      </c>
      <c r="L535" s="10">
        <f>INDEX(products!$A$1:$G$49,MATCH(orders!$D535,products!$A$1:$A$49,0),MATCH(orders!L$1,products!$A$1:$G$1,0))</f>
        <v>5.3699999999999992</v>
      </c>
      <c r="M535" s="10">
        <f t="shared" si="24"/>
        <v>21.479999999999997</v>
      </c>
      <c r="N535" t="str">
        <f t="shared" si="25"/>
        <v>Robusta</v>
      </c>
      <c r="O535" t="str">
        <f t="shared" si="26"/>
        <v>Dark</v>
      </c>
      <c r="P535" t="str">
        <f>_xlfn.XLOOKUP(Table1[[#This Row],[Customer ID]],customers!$A$1:$A$1001,customers!$I$1:$I$1001,,0)</f>
        <v>No</v>
      </c>
    </row>
    <row r="536" spans="1:16" x14ac:dyDescent="0.25">
      <c r="A536" s="2" t="s">
        <v>3510</v>
      </c>
      <c r="B536" s="8">
        <v>44563</v>
      </c>
      <c r="C536" s="2" t="s">
        <v>3511</v>
      </c>
      <c r="D536" t="s">
        <v>6151</v>
      </c>
      <c r="E536" s="2">
        <v>2</v>
      </c>
      <c r="F536" s="2" t="str">
        <f>_xlfn.XLOOKUP(orders!C536,customers!$A$1:$A$1001,customers!$B$1:$B$1001,,0)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9">
        <f>INDEX(products!$A$1:$G$49,MATCH(orders!$D536,products!$A$1:$A$49,0),MATCH(orders!K$1,products!$A$1:$G$1,0))</f>
        <v>2.5</v>
      </c>
      <c r="L536" s="10">
        <f>INDEX(products!$A$1:$G$49,MATCH(orders!$D536,products!$A$1:$A$49,0),MATCH(orders!L$1,products!$A$1:$G$1,0))</f>
        <v>22.884999999999998</v>
      </c>
      <c r="M536" s="10">
        <f t="shared" si="24"/>
        <v>45.769999999999996</v>
      </c>
      <c r="N536" t="str">
        <f t="shared" si="25"/>
        <v>Robusta</v>
      </c>
      <c r="O536" t="str">
        <f t="shared" si="26"/>
        <v>Medium</v>
      </c>
      <c r="P536" t="str">
        <f>_xlfn.XLOOKUP(Table1[[#This Row],[Customer ID]],customers!$A$1:$A$1001,customers!$I$1:$I$1001,,0)</f>
        <v>Yes</v>
      </c>
    </row>
    <row r="537" spans="1:16" x14ac:dyDescent="0.25">
      <c r="A537" s="2" t="s">
        <v>3516</v>
      </c>
      <c r="B537" s="8">
        <v>44585</v>
      </c>
      <c r="C537" s="2" t="s">
        <v>3517</v>
      </c>
      <c r="D537" t="s">
        <v>6145</v>
      </c>
      <c r="E537" s="2">
        <v>2</v>
      </c>
      <c r="F537" s="2" t="str">
        <f>_xlfn.XLOOKUP(orders!C537,customers!$A$1:$A$1001,customers!$B$1:$B$1001,,0)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9">
        <f>INDEX(products!$A$1:$G$49,MATCH(orders!$D537,products!$A$1:$A$49,0),MATCH(orders!K$1,products!$A$1:$G$1,0))</f>
        <v>0.2</v>
      </c>
      <c r="L537" s="10">
        <f>INDEX(products!$A$1:$G$49,MATCH(orders!$D537,products!$A$1:$A$49,0),MATCH(orders!L$1,products!$A$1:$G$1,0))</f>
        <v>4.7549999999999999</v>
      </c>
      <c r="M537" s="10">
        <f t="shared" si="24"/>
        <v>9.51</v>
      </c>
      <c r="N537" t="str">
        <f t="shared" si="25"/>
        <v>Liberica</v>
      </c>
      <c r="O537" t="str">
        <f t="shared" si="26"/>
        <v>Light</v>
      </c>
      <c r="P537" t="str">
        <f>_xlfn.XLOOKUP(Table1[[#This Row],[Customer ID]],customers!$A$1:$A$1001,customers!$I$1:$I$1001,,0)</f>
        <v>No</v>
      </c>
    </row>
    <row r="538" spans="1:16" x14ac:dyDescent="0.25">
      <c r="A538" s="2" t="s">
        <v>3521</v>
      </c>
      <c r="B538" s="8">
        <v>43544</v>
      </c>
      <c r="C538" s="2" t="s">
        <v>3368</v>
      </c>
      <c r="D538" t="s">
        <v>6163</v>
      </c>
      <c r="E538" s="2">
        <v>3</v>
      </c>
      <c r="F538" s="2" t="str">
        <f>_xlfn.XLOOKUP(orders!C538,customers!$A$1:$A$1001,customers!$B$1:$B$1001,,0)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9">
        <f>INDEX(products!$A$1:$G$49,MATCH(orders!$D538,products!$A$1:$A$49,0),MATCH(orders!K$1,products!$A$1:$G$1,0))</f>
        <v>0.2</v>
      </c>
      <c r="L538" s="10">
        <f>INDEX(products!$A$1:$G$49,MATCH(orders!$D538,products!$A$1:$A$49,0),MATCH(orders!L$1,products!$A$1:$G$1,0))</f>
        <v>2.6849999999999996</v>
      </c>
      <c r="M538" s="10">
        <f t="shared" si="24"/>
        <v>8.0549999999999997</v>
      </c>
      <c r="N538" t="str">
        <f t="shared" si="25"/>
        <v>Robusta</v>
      </c>
      <c r="O538" t="str">
        <f t="shared" si="26"/>
        <v>Dark</v>
      </c>
      <c r="P538" t="str">
        <f>_xlfn.XLOOKUP(Table1[[#This Row],[Customer ID]],customers!$A$1:$A$1001,customers!$I$1:$I$1001,,0)</f>
        <v>Yes</v>
      </c>
    </row>
    <row r="539" spans="1:16" x14ac:dyDescent="0.25">
      <c r="A539" s="2" t="s">
        <v>3527</v>
      </c>
      <c r="B539" s="8">
        <v>44156</v>
      </c>
      <c r="C539" s="2" t="s">
        <v>3528</v>
      </c>
      <c r="D539" t="s">
        <v>6185</v>
      </c>
      <c r="E539" s="2">
        <v>4</v>
      </c>
      <c r="F539" s="2" t="str">
        <f>_xlfn.XLOOKUP(orders!C539,customers!$A$1:$A$1001,customers!$B$1:$B$1001,,0)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9">
        <f>INDEX(products!$A$1:$G$49,MATCH(orders!$D539,products!$A$1:$A$49,0),MATCH(orders!K$1,products!$A$1:$G$1,0))</f>
        <v>2.5</v>
      </c>
      <c r="L539" s="10">
        <f>INDEX(products!$A$1:$G$49,MATCH(orders!$D539,products!$A$1:$A$49,0),MATCH(orders!L$1,products!$A$1:$G$1,0))</f>
        <v>27.945</v>
      </c>
      <c r="M539" s="10">
        <f t="shared" si="24"/>
        <v>111.78</v>
      </c>
      <c r="N539" t="str">
        <f t="shared" si="25"/>
        <v>Excelsa</v>
      </c>
      <c r="O539" t="str">
        <f t="shared" si="26"/>
        <v>Dark</v>
      </c>
      <c r="P539" t="str">
        <f>_xlfn.XLOOKUP(Table1[[#This Row],[Customer ID]],customers!$A$1:$A$1001,customers!$I$1:$I$1001,,0)</f>
        <v>Yes</v>
      </c>
    </row>
    <row r="540" spans="1:16" x14ac:dyDescent="0.25">
      <c r="A540" s="2" t="s">
        <v>3532</v>
      </c>
      <c r="B540" s="8">
        <v>44482</v>
      </c>
      <c r="C540" s="2" t="s">
        <v>3533</v>
      </c>
      <c r="D540" t="s">
        <v>6163</v>
      </c>
      <c r="E540" s="2">
        <v>4</v>
      </c>
      <c r="F540" s="2" t="str">
        <f>_xlfn.XLOOKUP(orders!C540,customers!$A$1:$A$1001,customers!$B$1:$B$1001,,0)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9">
        <f>INDEX(products!$A$1:$G$49,MATCH(orders!$D540,products!$A$1:$A$49,0),MATCH(orders!K$1,products!$A$1:$G$1,0))</f>
        <v>0.2</v>
      </c>
      <c r="L540" s="10">
        <f>INDEX(products!$A$1:$G$49,MATCH(orders!$D540,products!$A$1:$A$49,0),MATCH(orders!L$1,products!$A$1:$G$1,0))</f>
        <v>2.6849999999999996</v>
      </c>
      <c r="M540" s="10">
        <f t="shared" si="24"/>
        <v>10.739999999999998</v>
      </c>
      <c r="N540" t="str">
        <f t="shared" si="25"/>
        <v>Robusta</v>
      </c>
      <c r="O540" t="str">
        <f t="shared" si="26"/>
        <v>Dark</v>
      </c>
      <c r="P540" t="str">
        <f>_xlfn.XLOOKUP(Table1[[#This Row],[Customer ID]],customers!$A$1:$A$1001,customers!$I$1:$I$1001,,0)</f>
        <v>Yes</v>
      </c>
    </row>
    <row r="541" spans="1:16" x14ac:dyDescent="0.25">
      <c r="A541" s="2" t="s">
        <v>3537</v>
      </c>
      <c r="B541" s="8">
        <v>44488</v>
      </c>
      <c r="C541" s="2" t="s">
        <v>3538</v>
      </c>
      <c r="D541" t="s">
        <v>6172</v>
      </c>
      <c r="E541" s="2">
        <v>5</v>
      </c>
      <c r="F541" s="2" t="str">
        <f>_xlfn.XLOOKUP(orders!C541,customers!$A$1:$A$1001,customers!$B$1:$B$1001,,0)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9">
        <f>INDEX(products!$A$1:$G$49,MATCH(orders!$D541,products!$A$1:$A$49,0),MATCH(orders!K$1,products!$A$1:$G$1,0))</f>
        <v>0.5</v>
      </c>
      <c r="L541" s="10">
        <f>INDEX(products!$A$1:$G$49,MATCH(orders!$D541,products!$A$1:$A$49,0),MATCH(orders!L$1,products!$A$1:$G$1,0))</f>
        <v>5.3699999999999992</v>
      </c>
      <c r="M541" s="10">
        <f t="shared" si="24"/>
        <v>26.849999999999994</v>
      </c>
      <c r="N541" t="str">
        <f t="shared" si="25"/>
        <v>Robusta</v>
      </c>
      <c r="O541" t="str">
        <f t="shared" si="26"/>
        <v>Dark</v>
      </c>
      <c r="P541" t="str">
        <f>_xlfn.XLOOKUP(Table1[[#This Row],[Customer ID]],customers!$A$1:$A$1001,customers!$I$1:$I$1001,,0)</f>
        <v>No</v>
      </c>
    </row>
    <row r="542" spans="1:16" x14ac:dyDescent="0.25">
      <c r="A542" s="2" t="s">
        <v>3542</v>
      </c>
      <c r="B542" s="8">
        <v>43584</v>
      </c>
      <c r="C542" s="2" t="s">
        <v>3543</v>
      </c>
      <c r="D542" t="s">
        <v>6170</v>
      </c>
      <c r="E542" s="2">
        <v>4</v>
      </c>
      <c r="F542" s="2" t="str">
        <f>_xlfn.XLOOKUP(orders!C542,customers!$A$1:$A$1001,customers!$B$1:$B$1001,,0)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9">
        <f>INDEX(products!$A$1:$G$49,MATCH(orders!$D542,products!$A$1:$A$49,0),MATCH(orders!K$1,products!$A$1:$G$1,0))</f>
        <v>1</v>
      </c>
      <c r="L542" s="10">
        <f>INDEX(products!$A$1:$G$49,MATCH(orders!$D542,products!$A$1:$A$49,0),MATCH(orders!L$1,products!$A$1:$G$1,0))</f>
        <v>15.85</v>
      </c>
      <c r="M542" s="10">
        <f t="shared" si="24"/>
        <v>63.4</v>
      </c>
      <c r="N542" t="str">
        <f t="shared" si="25"/>
        <v>Liberica</v>
      </c>
      <c r="O542" t="str">
        <f t="shared" si="26"/>
        <v>Light</v>
      </c>
      <c r="P542" t="str">
        <f>_xlfn.XLOOKUP(Table1[[#This Row],[Customer ID]],customers!$A$1:$A$1001,customers!$I$1:$I$1001,,0)</f>
        <v>Yes</v>
      </c>
    </row>
    <row r="543" spans="1:16" x14ac:dyDescent="0.25">
      <c r="A543" s="2" t="s">
        <v>3548</v>
      </c>
      <c r="B543" s="8">
        <v>43750</v>
      </c>
      <c r="C543" s="2" t="s">
        <v>3549</v>
      </c>
      <c r="D543" t="s">
        <v>6168</v>
      </c>
      <c r="E543" s="2">
        <v>1</v>
      </c>
      <c r="F543" s="2" t="str">
        <f>_xlfn.XLOOKUP(orders!C543,customers!$A$1:$A$1001,customers!$B$1:$B$1001,,0)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9">
        <f>INDEX(products!$A$1:$G$49,MATCH(orders!$D543,products!$A$1:$A$49,0),MATCH(orders!K$1,products!$A$1:$G$1,0))</f>
        <v>2.5</v>
      </c>
      <c r="L543" s="10">
        <f>INDEX(products!$A$1:$G$49,MATCH(orders!$D543,products!$A$1:$A$49,0),MATCH(orders!L$1,products!$A$1:$G$1,0))</f>
        <v>22.884999999999998</v>
      </c>
      <c r="M543" s="10">
        <f t="shared" si="24"/>
        <v>22.884999999999998</v>
      </c>
      <c r="N543" t="str">
        <f t="shared" si="25"/>
        <v>Arabica</v>
      </c>
      <c r="O543" t="str">
        <f t="shared" si="26"/>
        <v>Dark</v>
      </c>
      <c r="P543" t="str">
        <f>_xlfn.XLOOKUP(Table1[[#This Row],[Customer ID]],customers!$A$1:$A$1001,customers!$I$1:$I$1001,,0)</f>
        <v>Yes</v>
      </c>
    </row>
    <row r="544" spans="1:16" x14ac:dyDescent="0.25">
      <c r="A544" s="2" t="s">
        <v>3553</v>
      </c>
      <c r="B544" s="8">
        <v>44335</v>
      </c>
      <c r="C544" s="2" t="s">
        <v>3554</v>
      </c>
      <c r="D544" t="s">
        <v>6175</v>
      </c>
      <c r="E544" s="2">
        <v>4</v>
      </c>
      <c r="F544" s="2" t="str">
        <f>_xlfn.XLOOKUP(orders!C544,customers!$A$1:$A$1001,customers!$B$1:$B$1001,,0)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9">
        <f>INDEX(products!$A$1:$G$49,MATCH(orders!$D544,products!$A$1:$A$49,0),MATCH(orders!K$1,products!$A$1:$G$1,0))</f>
        <v>2.5</v>
      </c>
      <c r="L544" s="10">
        <f>INDEX(products!$A$1:$G$49,MATCH(orders!$D544,products!$A$1:$A$49,0),MATCH(orders!L$1,products!$A$1:$G$1,0))</f>
        <v>25.874999999999996</v>
      </c>
      <c r="M544" s="10">
        <f t="shared" si="24"/>
        <v>103.49999999999999</v>
      </c>
      <c r="N544" t="str">
        <f t="shared" si="25"/>
        <v>Arabica</v>
      </c>
      <c r="O544" t="str">
        <f t="shared" si="26"/>
        <v>Medium</v>
      </c>
      <c r="P544" t="str">
        <f>_xlfn.XLOOKUP(Table1[[#This Row],[Customer ID]],customers!$A$1:$A$1001,customers!$I$1:$I$1001,,0)</f>
        <v>No</v>
      </c>
    </row>
    <row r="545" spans="1:16" x14ac:dyDescent="0.25">
      <c r="A545" s="2" t="s">
        <v>3559</v>
      </c>
      <c r="B545" s="8">
        <v>44380</v>
      </c>
      <c r="C545" s="2" t="s">
        <v>3560</v>
      </c>
      <c r="D545" t="s">
        <v>6142</v>
      </c>
      <c r="E545" s="2">
        <v>2</v>
      </c>
      <c r="F545" s="2" t="str">
        <f>_xlfn.XLOOKUP(orders!C545,customers!$A$1:$A$1001,customers!$B$1:$B$1001,,0)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9">
        <f>INDEX(products!$A$1:$G$49,MATCH(orders!$D545,products!$A$1:$A$49,0),MATCH(orders!K$1,products!$A$1:$G$1,0))</f>
        <v>2.5</v>
      </c>
      <c r="L545" s="10">
        <f>INDEX(products!$A$1:$G$49,MATCH(orders!$D545,products!$A$1:$A$49,0),MATCH(orders!L$1,products!$A$1:$G$1,0))</f>
        <v>27.484999999999996</v>
      </c>
      <c r="M545" s="10">
        <f t="shared" si="24"/>
        <v>54.969999999999992</v>
      </c>
      <c r="N545" t="str">
        <f t="shared" si="25"/>
        <v>Robusta</v>
      </c>
      <c r="O545" t="str">
        <f t="shared" si="26"/>
        <v>Light</v>
      </c>
      <c r="P545" t="str">
        <f>_xlfn.XLOOKUP(Table1[[#This Row],[Customer ID]],customers!$A$1:$A$1001,customers!$I$1:$I$1001,,0)</f>
        <v>No</v>
      </c>
    </row>
    <row r="546" spans="1:16" x14ac:dyDescent="0.25">
      <c r="A546" s="2" t="s">
        <v>3565</v>
      </c>
      <c r="B546" s="8">
        <v>43869</v>
      </c>
      <c r="C546" s="2" t="s">
        <v>3566</v>
      </c>
      <c r="D546" t="s">
        <v>6180</v>
      </c>
      <c r="E546" s="2">
        <v>2</v>
      </c>
      <c r="F546" s="2" t="str">
        <f>_xlfn.XLOOKUP(orders!C546,customers!$A$1:$A$1001,customers!$B$1:$B$1001,,0)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9">
        <f>INDEX(products!$A$1:$G$49,MATCH(orders!$D546,products!$A$1:$A$49,0),MATCH(orders!K$1,products!$A$1:$G$1,0))</f>
        <v>0.5</v>
      </c>
      <c r="L546" s="10">
        <f>INDEX(products!$A$1:$G$49,MATCH(orders!$D546,products!$A$1:$A$49,0),MATCH(orders!L$1,products!$A$1:$G$1,0))</f>
        <v>7.77</v>
      </c>
      <c r="M546" s="10">
        <f t="shared" si="24"/>
        <v>15.54</v>
      </c>
      <c r="N546" t="str">
        <f t="shared" si="25"/>
        <v>Arabica</v>
      </c>
      <c r="O546" t="str">
        <f t="shared" si="26"/>
        <v>Light</v>
      </c>
      <c r="P546" t="str">
        <f>_xlfn.XLOOKUP(Table1[[#This Row],[Customer ID]],customers!$A$1:$A$1001,customers!$I$1:$I$1001,,0)</f>
        <v>No</v>
      </c>
    </row>
    <row r="547" spans="1:16" x14ac:dyDescent="0.25">
      <c r="A547" s="2" t="s">
        <v>3571</v>
      </c>
      <c r="B547" s="8">
        <v>44120</v>
      </c>
      <c r="C547" s="2" t="s">
        <v>3572</v>
      </c>
      <c r="D547" t="s">
        <v>6150</v>
      </c>
      <c r="E547" s="2">
        <v>4</v>
      </c>
      <c r="F547" s="2" t="str">
        <f>_xlfn.XLOOKUP(orders!C547,customers!$A$1:$A$1001,customers!$B$1:$B$1001,,0)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9">
        <f>INDEX(products!$A$1:$G$49,MATCH(orders!$D547,products!$A$1:$A$49,0),MATCH(orders!K$1,products!$A$1:$G$1,0))</f>
        <v>0.2</v>
      </c>
      <c r="L547" s="10">
        <f>INDEX(products!$A$1:$G$49,MATCH(orders!$D547,products!$A$1:$A$49,0),MATCH(orders!L$1,products!$A$1:$G$1,0))</f>
        <v>3.8849999999999998</v>
      </c>
      <c r="M547" s="10">
        <f t="shared" si="24"/>
        <v>15.54</v>
      </c>
      <c r="N547" t="str">
        <f t="shared" si="25"/>
        <v>Liberica</v>
      </c>
      <c r="O547" t="str">
        <f t="shared" si="26"/>
        <v>Dark</v>
      </c>
      <c r="P547" t="str">
        <f>_xlfn.XLOOKUP(Table1[[#This Row],[Customer ID]],customers!$A$1:$A$1001,customers!$I$1:$I$1001,,0)</f>
        <v>No</v>
      </c>
    </row>
    <row r="548" spans="1:16" x14ac:dyDescent="0.25">
      <c r="A548" s="2" t="s">
        <v>3577</v>
      </c>
      <c r="B548" s="8">
        <v>44127</v>
      </c>
      <c r="C548" s="2" t="s">
        <v>3578</v>
      </c>
      <c r="D548" t="s">
        <v>6185</v>
      </c>
      <c r="E548" s="2">
        <v>3</v>
      </c>
      <c r="F548" s="2" t="str">
        <f>_xlfn.XLOOKUP(orders!C548,customers!$A$1:$A$1001,customers!$B$1:$B$1001,,0)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9">
        <f>INDEX(products!$A$1:$G$49,MATCH(orders!$D548,products!$A$1:$A$49,0),MATCH(orders!K$1,products!$A$1:$G$1,0))</f>
        <v>2.5</v>
      </c>
      <c r="L548" s="10">
        <f>INDEX(products!$A$1:$G$49,MATCH(orders!$D548,products!$A$1:$A$49,0),MATCH(orders!L$1,products!$A$1:$G$1,0))</f>
        <v>27.945</v>
      </c>
      <c r="M548" s="10">
        <f t="shared" si="24"/>
        <v>83.835000000000008</v>
      </c>
      <c r="N548" t="str">
        <f t="shared" si="25"/>
        <v>Excelsa</v>
      </c>
      <c r="O548" t="str">
        <f t="shared" si="26"/>
        <v>Dark</v>
      </c>
      <c r="P548" t="str">
        <f>_xlfn.XLOOKUP(Table1[[#This Row],[Customer ID]],customers!$A$1:$A$1001,customers!$I$1:$I$1001,,0)</f>
        <v>No</v>
      </c>
    </row>
    <row r="549" spans="1:16" x14ac:dyDescent="0.25">
      <c r="A549" s="2" t="s">
        <v>3582</v>
      </c>
      <c r="B549" s="8">
        <v>44265</v>
      </c>
      <c r="C549" s="2" t="s">
        <v>3594</v>
      </c>
      <c r="D549" t="s">
        <v>6178</v>
      </c>
      <c r="E549" s="2">
        <v>3</v>
      </c>
      <c r="F549" s="2" t="str">
        <f>_xlfn.XLOOKUP(orders!C549,customers!$A$1:$A$1001,customers!$B$1:$B$1001,,0)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9">
        <f>INDEX(products!$A$1:$G$49,MATCH(orders!$D549,products!$A$1:$A$49,0),MATCH(orders!K$1,products!$A$1:$G$1,0))</f>
        <v>0.2</v>
      </c>
      <c r="L549" s="10">
        <f>INDEX(products!$A$1:$G$49,MATCH(orders!$D549,products!$A$1:$A$49,0),MATCH(orders!L$1,products!$A$1:$G$1,0))</f>
        <v>3.5849999999999995</v>
      </c>
      <c r="M549" s="10">
        <f t="shared" si="24"/>
        <v>10.754999999999999</v>
      </c>
      <c r="N549" t="str">
        <f t="shared" si="25"/>
        <v>Robusta</v>
      </c>
      <c r="O549" t="str">
        <f t="shared" si="26"/>
        <v>Light</v>
      </c>
      <c r="P549" t="str">
        <f>_xlfn.XLOOKUP(Table1[[#This Row],[Customer ID]],customers!$A$1:$A$1001,customers!$I$1:$I$1001,,0)</f>
        <v>Yes</v>
      </c>
    </row>
    <row r="550" spans="1:16" x14ac:dyDescent="0.25">
      <c r="A550" s="2" t="s">
        <v>3587</v>
      </c>
      <c r="B550" s="8">
        <v>44384</v>
      </c>
      <c r="C550" s="2" t="s">
        <v>3588</v>
      </c>
      <c r="D550" t="s">
        <v>6184</v>
      </c>
      <c r="E550" s="2">
        <v>3</v>
      </c>
      <c r="F550" s="2" t="str">
        <f>_xlfn.XLOOKUP(orders!C550,customers!$A$1:$A$1001,customers!$B$1:$B$1001,,0)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9">
        <f>INDEX(products!$A$1:$G$49,MATCH(orders!$D550,products!$A$1:$A$49,0),MATCH(orders!K$1,products!$A$1:$G$1,0))</f>
        <v>0.2</v>
      </c>
      <c r="L550" s="10">
        <f>INDEX(products!$A$1:$G$49,MATCH(orders!$D550,products!$A$1:$A$49,0),MATCH(orders!L$1,products!$A$1:$G$1,0))</f>
        <v>4.4550000000000001</v>
      </c>
      <c r="M550" s="10">
        <f t="shared" si="24"/>
        <v>13.365</v>
      </c>
      <c r="N550" t="str">
        <f t="shared" si="25"/>
        <v>Excelsa</v>
      </c>
      <c r="O550" t="str">
        <f t="shared" si="26"/>
        <v>Light</v>
      </c>
      <c r="P550" t="str">
        <f>_xlfn.XLOOKUP(Table1[[#This Row],[Customer ID]],customers!$A$1:$A$1001,customers!$I$1:$I$1001,,0)</f>
        <v>Yes</v>
      </c>
    </row>
    <row r="551" spans="1:16" x14ac:dyDescent="0.25">
      <c r="A551" s="2" t="s">
        <v>3593</v>
      </c>
      <c r="B551" s="8">
        <v>44232</v>
      </c>
      <c r="C551" s="2" t="s">
        <v>3594</v>
      </c>
      <c r="D551" t="s">
        <v>6184</v>
      </c>
      <c r="E551" s="2">
        <v>4</v>
      </c>
      <c r="F551" s="2" t="str">
        <f>_xlfn.XLOOKUP(orders!C551,customers!$A$1:$A$1001,customers!$B$1:$B$1001,,0)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9">
        <f>INDEX(products!$A$1:$G$49,MATCH(orders!$D551,products!$A$1:$A$49,0),MATCH(orders!K$1,products!$A$1:$G$1,0))</f>
        <v>0.2</v>
      </c>
      <c r="L551" s="10">
        <f>INDEX(products!$A$1:$G$49,MATCH(orders!$D551,products!$A$1:$A$49,0),MATCH(orders!L$1,products!$A$1:$G$1,0))</f>
        <v>4.4550000000000001</v>
      </c>
      <c r="M551" s="10">
        <f t="shared" si="24"/>
        <v>17.82</v>
      </c>
      <c r="N551" t="str">
        <f t="shared" si="25"/>
        <v>Excelsa</v>
      </c>
      <c r="O551" t="str">
        <f t="shared" si="26"/>
        <v>Light</v>
      </c>
      <c r="P551" t="str">
        <f>_xlfn.XLOOKUP(Table1[[#This Row],[Customer ID]],customers!$A$1:$A$1001,customers!$I$1:$I$1001,,0)</f>
        <v>Yes</v>
      </c>
    </row>
    <row r="552" spans="1:16" x14ac:dyDescent="0.25">
      <c r="A552" s="2" t="s">
        <v>3599</v>
      </c>
      <c r="B552" s="8">
        <v>44176</v>
      </c>
      <c r="C552" s="2" t="s">
        <v>3600</v>
      </c>
      <c r="D552" t="s">
        <v>6150</v>
      </c>
      <c r="E552" s="2">
        <v>6</v>
      </c>
      <c r="F552" s="2" t="str">
        <f>_xlfn.XLOOKUP(orders!C552,customers!$A$1:$A$1001,customers!$B$1:$B$1001,,0)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9">
        <f>INDEX(products!$A$1:$G$49,MATCH(orders!$D552,products!$A$1:$A$49,0),MATCH(orders!K$1,products!$A$1:$G$1,0))</f>
        <v>0.2</v>
      </c>
      <c r="L552" s="10">
        <f>INDEX(products!$A$1:$G$49,MATCH(orders!$D552,products!$A$1:$A$49,0),MATCH(orders!L$1,products!$A$1:$G$1,0))</f>
        <v>3.8849999999999998</v>
      </c>
      <c r="M552" s="10">
        <f t="shared" si="24"/>
        <v>23.31</v>
      </c>
      <c r="N552" t="str">
        <f t="shared" si="25"/>
        <v>Liberica</v>
      </c>
      <c r="O552" t="str">
        <f t="shared" si="26"/>
        <v>Dark</v>
      </c>
      <c r="P552" t="str">
        <f>_xlfn.XLOOKUP(Table1[[#This Row],[Customer ID]],customers!$A$1:$A$1001,customers!$I$1:$I$1001,,0)</f>
        <v>Yes</v>
      </c>
    </row>
    <row r="553" spans="1:16" x14ac:dyDescent="0.25">
      <c r="A553" s="2" t="s">
        <v>3605</v>
      </c>
      <c r="B553" s="8">
        <v>44694</v>
      </c>
      <c r="C553" s="2" t="s">
        <v>3606</v>
      </c>
      <c r="D553" t="s">
        <v>6153</v>
      </c>
      <c r="E553" s="2">
        <v>2</v>
      </c>
      <c r="F553" s="2" t="str">
        <f>_xlfn.XLOOKUP(orders!C553,customers!$A$1:$A$1001,customers!$B$1:$B$1001,,0)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9">
        <f>INDEX(products!$A$1:$G$49,MATCH(orders!$D553,products!$A$1:$A$49,0),MATCH(orders!K$1,products!$A$1:$G$1,0))</f>
        <v>0.2</v>
      </c>
      <c r="L553" s="10">
        <f>INDEX(products!$A$1:$G$49,MATCH(orders!$D553,products!$A$1:$A$49,0),MATCH(orders!L$1,products!$A$1:$G$1,0))</f>
        <v>3.645</v>
      </c>
      <c r="M553" s="10">
        <f t="shared" si="24"/>
        <v>7.29</v>
      </c>
      <c r="N553" t="str">
        <f t="shared" si="25"/>
        <v>Excelsa</v>
      </c>
      <c r="O553" t="str">
        <f t="shared" si="26"/>
        <v>Dark</v>
      </c>
      <c r="P553" t="str">
        <f>_xlfn.XLOOKUP(Table1[[#This Row],[Customer ID]],customers!$A$1:$A$1001,customers!$I$1:$I$1001,,0)</f>
        <v>No</v>
      </c>
    </row>
    <row r="554" spans="1:16" x14ac:dyDescent="0.25">
      <c r="A554" s="2" t="s">
        <v>3611</v>
      </c>
      <c r="B554" s="8">
        <v>43761</v>
      </c>
      <c r="C554" s="2" t="s">
        <v>3612</v>
      </c>
      <c r="D554" t="s">
        <v>6184</v>
      </c>
      <c r="E554" s="2">
        <v>4</v>
      </c>
      <c r="F554" s="2" t="str">
        <f>_xlfn.XLOOKUP(orders!C554,customers!$A$1:$A$1001,customers!$B$1:$B$1001,,0)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9">
        <f>INDEX(products!$A$1:$G$49,MATCH(orders!$D554,products!$A$1:$A$49,0),MATCH(orders!K$1,products!$A$1:$G$1,0))</f>
        <v>0.2</v>
      </c>
      <c r="L554" s="10">
        <f>INDEX(products!$A$1:$G$49,MATCH(orders!$D554,products!$A$1:$A$49,0),MATCH(orders!L$1,products!$A$1:$G$1,0))</f>
        <v>4.4550000000000001</v>
      </c>
      <c r="M554" s="10">
        <f t="shared" si="24"/>
        <v>17.82</v>
      </c>
      <c r="N554" t="str">
        <f t="shared" si="25"/>
        <v>Excelsa</v>
      </c>
      <c r="O554" t="str">
        <f t="shared" si="26"/>
        <v>Light</v>
      </c>
      <c r="P554" t="str">
        <f>_xlfn.XLOOKUP(Table1[[#This Row],[Customer ID]],customers!$A$1:$A$1001,customers!$I$1:$I$1001,,0)</f>
        <v>Yes</v>
      </c>
    </row>
    <row r="555" spans="1:16" x14ac:dyDescent="0.25">
      <c r="A555" s="2" t="s">
        <v>3617</v>
      </c>
      <c r="B555" s="8">
        <v>44085</v>
      </c>
      <c r="C555" s="2" t="s">
        <v>3618</v>
      </c>
      <c r="D555" t="s">
        <v>6141</v>
      </c>
      <c r="E555" s="2">
        <v>5</v>
      </c>
      <c r="F555" s="2" t="str">
        <f>_xlfn.XLOOKUP(orders!C555,customers!$A$1:$A$1001,customers!$B$1:$B$1001,,0)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9">
        <f>INDEX(products!$A$1:$G$49,MATCH(orders!$D555,products!$A$1:$A$49,0),MATCH(orders!K$1,products!$A$1:$G$1,0))</f>
        <v>1</v>
      </c>
      <c r="L555" s="10">
        <f>INDEX(products!$A$1:$G$49,MATCH(orders!$D555,products!$A$1:$A$49,0),MATCH(orders!L$1,products!$A$1:$G$1,0))</f>
        <v>13.75</v>
      </c>
      <c r="M555" s="10">
        <f t="shared" si="24"/>
        <v>68.75</v>
      </c>
      <c r="N555" t="str">
        <f t="shared" si="25"/>
        <v>Excelsa</v>
      </c>
      <c r="O555" t="str">
        <f t="shared" si="26"/>
        <v>Medium</v>
      </c>
      <c r="P555" t="str">
        <f>_xlfn.XLOOKUP(Table1[[#This Row],[Customer ID]],customers!$A$1:$A$1001,customers!$I$1:$I$1001,,0)</f>
        <v>No</v>
      </c>
    </row>
    <row r="556" spans="1:16" x14ac:dyDescent="0.25">
      <c r="A556" s="2" t="s">
        <v>3622</v>
      </c>
      <c r="B556" s="8">
        <v>43737</v>
      </c>
      <c r="C556" s="2" t="s">
        <v>3623</v>
      </c>
      <c r="D556" t="s">
        <v>6142</v>
      </c>
      <c r="E556" s="2">
        <v>2</v>
      </c>
      <c r="F556" s="2" t="str">
        <f>_xlfn.XLOOKUP(orders!C556,customers!$A$1:$A$1001,customers!$B$1:$B$1001,,0)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9">
        <f>INDEX(products!$A$1:$G$49,MATCH(orders!$D556,products!$A$1:$A$49,0),MATCH(orders!K$1,products!$A$1:$G$1,0))</f>
        <v>2.5</v>
      </c>
      <c r="L556" s="10">
        <f>INDEX(products!$A$1:$G$49,MATCH(orders!$D556,products!$A$1:$A$49,0),MATCH(orders!L$1,products!$A$1:$G$1,0))</f>
        <v>27.484999999999996</v>
      </c>
      <c r="M556" s="10">
        <f t="shared" si="24"/>
        <v>54.969999999999992</v>
      </c>
      <c r="N556" t="str">
        <f t="shared" si="25"/>
        <v>Robusta</v>
      </c>
      <c r="O556" t="str">
        <f t="shared" si="26"/>
        <v>Light</v>
      </c>
      <c r="P556" t="str">
        <f>_xlfn.XLOOKUP(Table1[[#This Row],[Customer ID]],customers!$A$1:$A$1001,customers!$I$1:$I$1001,,0)</f>
        <v>Yes</v>
      </c>
    </row>
    <row r="557" spans="1:16" x14ac:dyDescent="0.25">
      <c r="A557" s="2" t="s">
        <v>3627</v>
      </c>
      <c r="B557" s="8">
        <v>44258</v>
      </c>
      <c r="C557" s="2" t="s">
        <v>3628</v>
      </c>
      <c r="D557" t="s">
        <v>6141</v>
      </c>
      <c r="E557" s="2">
        <v>6</v>
      </c>
      <c r="F557" s="2" t="str">
        <f>_xlfn.XLOOKUP(orders!C557,customers!$A$1:$A$1001,customers!$B$1:$B$1001,,0)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9">
        <f>INDEX(products!$A$1:$G$49,MATCH(orders!$D557,products!$A$1:$A$49,0),MATCH(orders!K$1,products!$A$1:$G$1,0))</f>
        <v>1</v>
      </c>
      <c r="L557" s="10">
        <f>INDEX(products!$A$1:$G$49,MATCH(orders!$D557,products!$A$1:$A$49,0),MATCH(orders!L$1,products!$A$1:$G$1,0))</f>
        <v>13.75</v>
      </c>
      <c r="M557" s="10">
        <f t="shared" si="24"/>
        <v>82.5</v>
      </c>
      <c r="N557" t="str">
        <f t="shared" si="25"/>
        <v>Excelsa</v>
      </c>
      <c r="O557" t="str">
        <f t="shared" si="26"/>
        <v>Medium</v>
      </c>
      <c r="P557" t="str">
        <f>_xlfn.XLOOKUP(Table1[[#This Row],[Customer ID]],customers!$A$1:$A$1001,customers!$I$1:$I$1001,,0)</f>
        <v>No</v>
      </c>
    </row>
    <row r="558" spans="1:16" x14ac:dyDescent="0.25">
      <c r="A558" s="2" t="s">
        <v>3633</v>
      </c>
      <c r="B558" s="8">
        <v>44523</v>
      </c>
      <c r="C558" s="2" t="s">
        <v>3634</v>
      </c>
      <c r="D558" t="s">
        <v>6159</v>
      </c>
      <c r="E558" s="2">
        <v>2</v>
      </c>
      <c r="F558" s="2" t="str">
        <f>_xlfn.XLOOKUP(orders!C558,customers!$A$1:$A$1001,customers!$B$1:$B$1001,,0)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9">
        <f>INDEX(products!$A$1:$G$49,MATCH(orders!$D558,products!$A$1:$A$49,0),MATCH(orders!K$1,products!$A$1:$G$1,0))</f>
        <v>0.2</v>
      </c>
      <c r="L558" s="10">
        <f>INDEX(products!$A$1:$G$49,MATCH(orders!$D558,products!$A$1:$A$49,0),MATCH(orders!L$1,products!$A$1:$G$1,0))</f>
        <v>4.3650000000000002</v>
      </c>
      <c r="M558" s="10">
        <f t="shared" si="24"/>
        <v>8.73</v>
      </c>
      <c r="N558" t="str">
        <f t="shared" si="25"/>
        <v>Liberica</v>
      </c>
      <c r="O558" t="str">
        <f t="shared" si="26"/>
        <v>Medium</v>
      </c>
      <c r="P558" t="str">
        <f>_xlfn.XLOOKUP(Table1[[#This Row],[Customer ID]],customers!$A$1:$A$1001,customers!$I$1:$I$1001,,0)</f>
        <v>Yes</v>
      </c>
    </row>
    <row r="559" spans="1:16" x14ac:dyDescent="0.25">
      <c r="A559" s="2" t="s">
        <v>3638</v>
      </c>
      <c r="B559" s="8">
        <v>44506</v>
      </c>
      <c r="C559" s="2" t="s">
        <v>3368</v>
      </c>
      <c r="D559" t="s">
        <v>6171</v>
      </c>
      <c r="E559" s="2">
        <v>4</v>
      </c>
      <c r="F559" s="2" t="str">
        <f>_xlfn.XLOOKUP(orders!C559,customers!$A$1:$A$1001,customers!$B$1:$B$1001,,0)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9">
        <f>INDEX(products!$A$1:$G$49,MATCH(orders!$D559,products!$A$1:$A$49,0),MATCH(orders!K$1,products!$A$1:$G$1,0))</f>
        <v>1</v>
      </c>
      <c r="L559" s="10">
        <f>INDEX(products!$A$1:$G$49,MATCH(orders!$D559,products!$A$1:$A$49,0),MATCH(orders!L$1,products!$A$1:$G$1,0))</f>
        <v>14.85</v>
      </c>
      <c r="M559" s="10">
        <f t="shared" si="24"/>
        <v>59.4</v>
      </c>
      <c r="N559" t="str">
        <f t="shared" si="25"/>
        <v>Excelsa</v>
      </c>
      <c r="O559" t="str">
        <f t="shared" si="26"/>
        <v>Light</v>
      </c>
      <c r="P559" t="str">
        <f>_xlfn.XLOOKUP(Table1[[#This Row],[Customer ID]],customers!$A$1:$A$1001,customers!$I$1:$I$1001,,0)</f>
        <v>Yes</v>
      </c>
    </row>
    <row r="560" spans="1:16" x14ac:dyDescent="0.25">
      <c r="A560" s="2" t="s">
        <v>3643</v>
      </c>
      <c r="B560" s="8">
        <v>44225</v>
      </c>
      <c r="C560" s="2" t="s">
        <v>3644</v>
      </c>
      <c r="D560" t="s">
        <v>6150</v>
      </c>
      <c r="E560" s="2">
        <v>4</v>
      </c>
      <c r="F560" s="2" t="str">
        <f>_xlfn.XLOOKUP(orders!C560,customers!$A$1:$A$1001,customers!$B$1:$B$1001,,0)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9">
        <f>INDEX(products!$A$1:$G$49,MATCH(orders!$D560,products!$A$1:$A$49,0),MATCH(orders!K$1,products!$A$1:$G$1,0))</f>
        <v>0.2</v>
      </c>
      <c r="L560" s="10">
        <f>INDEX(products!$A$1:$G$49,MATCH(orders!$D560,products!$A$1:$A$49,0),MATCH(orders!L$1,products!$A$1:$G$1,0))</f>
        <v>3.8849999999999998</v>
      </c>
      <c r="M560" s="10">
        <f t="shared" si="24"/>
        <v>15.54</v>
      </c>
      <c r="N560" t="str">
        <f t="shared" si="25"/>
        <v>Liberica</v>
      </c>
      <c r="O560" t="str">
        <f t="shared" si="26"/>
        <v>Dark</v>
      </c>
      <c r="P560" t="str">
        <f>_xlfn.XLOOKUP(Table1[[#This Row],[Customer ID]],customers!$A$1:$A$1001,customers!$I$1:$I$1001,,0)</f>
        <v>Yes</v>
      </c>
    </row>
    <row r="561" spans="1:16" x14ac:dyDescent="0.25">
      <c r="A561" s="2" t="s">
        <v>3648</v>
      </c>
      <c r="B561" s="8">
        <v>44667</v>
      </c>
      <c r="C561" s="2" t="s">
        <v>3649</v>
      </c>
      <c r="D561" t="s">
        <v>6140</v>
      </c>
      <c r="E561" s="2">
        <v>3</v>
      </c>
      <c r="F561" s="2" t="str">
        <f>_xlfn.XLOOKUP(orders!C561,customers!$A$1:$A$1001,customers!$B$1:$B$1001,,0)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9">
        <f>INDEX(products!$A$1:$G$49,MATCH(orders!$D561,products!$A$1:$A$49,0),MATCH(orders!K$1,products!$A$1:$G$1,0))</f>
        <v>1</v>
      </c>
      <c r="L561" s="10">
        <f>INDEX(products!$A$1:$G$49,MATCH(orders!$D561,products!$A$1:$A$49,0),MATCH(orders!L$1,products!$A$1:$G$1,0))</f>
        <v>12.95</v>
      </c>
      <c r="M561" s="10">
        <f t="shared" si="24"/>
        <v>38.849999999999994</v>
      </c>
      <c r="N561" t="str">
        <f t="shared" si="25"/>
        <v>Arabica</v>
      </c>
      <c r="O561" t="str">
        <f t="shared" si="26"/>
        <v>Light</v>
      </c>
      <c r="P561" t="str">
        <f>_xlfn.XLOOKUP(Table1[[#This Row],[Customer ID]],customers!$A$1:$A$1001,customers!$I$1:$I$1001,,0)</f>
        <v>Yes</v>
      </c>
    </row>
    <row r="562" spans="1:16" x14ac:dyDescent="0.25">
      <c r="A562" s="2" t="s">
        <v>3654</v>
      </c>
      <c r="B562" s="8">
        <v>44401</v>
      </c>
      <c r="C562" s="2" t="s">
        <v>3655</v>
      </c>
      <c r="D562" t="s">
        <v>6166</v>
      </c>
      <c r="E562" s="2">
        <v>6</v>
      </c>
      <c r="F562" s="2" t="str">
        <f>_xlfn.XLOOKUP(orders!C562,customers!$A$1:$A$1001,customers!$B$1:$B$1001,,0)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9">
        <f>INDEX(products!$A$1:$G$49,MATCH(orders!$D562,products!$A$1:$A$49,0),MATCH(orders!K$1,products!$A$1:$G$1,0))</f>
        <v>2.5</v>
      </c>
      <c r="L562" s="10">
        <f>INDEX(products!$A$1:$G$49,MATCH(orders!$D562,products!$A$1:$A$49,0),MATCH(orders!L$1,products!$A$1:$G$1,0))</f>
        <v>31.624999999999996</v>
      </c>
      <c r="M562" s="10">
        <f t="shared" si="24"/>
        <v>189.74999999999997</v>
      </c>
      <c r="N562" t="str">
        <f t="shared" si="25"/>
        <v>Excelsa</v>
      </c>
      <c r="O562" t="str">
        <f t="shared" si="26"/>
        <v>Medium</v>
      </c>
      <c r="P562" t="str">
        <f>_xlfn.XLOOKUP(Table1[[#This Row],[Customer ID]],customers!$A$1:$A$1001,customers!$I$1:$I$1001,,0)</f>
        <v>Yes</v>
      </c>
    </row>
    <row r="563" spans="1:16" x14ac:dyDescent="0.25">
      <c r="A563" s="2" t="s">
        <v>3659</v>
      </c>
      <c r="B563" s="8">
        <v>43688</v>
      </c>
      <c r="C563" s="2" t="s">
        <v>3660</v>
      </c>
      <c r="D563" t="s">
        <v>6154</v>
      </c>
      <c r="E563" s="2">
        <v>6</v>
      </c>
      <c r="F563" s="2" t="str">
        <f>_xlfn.XLOOKUP(orders!C563,customers!$A$1:$A$1001,customers!$B$1:$B$1001,,0)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9">
        <f>INDEX(products!$A$1:$G$49,MATCH(orders!$D563,products!$A$1:$A$49,0),MATCH(orders!K$1,products!$A$1:$G$1,0))</f>
        <v>0.2</v>
      </c>
      <c r="L563" s="10">
        <f>INDEX(products!$A$1:$G$49,MATCH(orders!$D563,products!$A$1:$A$49,0),MATCH(orders!L$1,products!$A$1:$G$1,0))</f>
        <v>2.9849999999999999</v>
      </c>
      <c r="M563" s="10">
        <f t="shared" si="24"/>
        <v>17.91</v>
      </c>
      <c r="N563" t="str">
        <f t="shared" si="25"/>
        <v>Arabica</v>
      </c>
      <c r="O563" t="str">
        <f t="shared" si="26"/>
        <v>Dark</v>
      </c>
      <c r="P563" t="str">
        <f>_xlfn.XLOOKUP(Table1[[#This Row],[Customer ID]],customers!$A$1:$A$1001,customers!$I$1:$I$1001,,0)</f>
        <v>Yes</v>
      </c>
    </row>
    <row r="564" spans="1:16" x14ac:dyDescent="0.25">
      <c r="A564" s="2" t="s">
        <v>3665</v>
      </c>
      <c r="B564" s="8">
        <v>43669</v>
      </c>
      <c r="C564" s="2" t="s">
        <v>3666</v>
      </c>
      <c r="D564" t="s">
        <v>6145</v>
      </c>
      <c r="E564" s="2">
        <v>6</v>
      </c>
      <c r="F564" s="2" t="str">
        <f>_xlfn.XLOOKUP(orders!C564,customers!$A$1:$A$1001,customers!$B$1:$B$1001,,0)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9">
        <f>INDEX(products!$A$1:$G$49,MATCH(orders!$D564,products!$A$1:$A$49,0),MATCH(orders!K$1,products!$A$1:$G$1,0))</f>
        <v>0.2</v>
      </c>
      <c r="L564" s="10">
        <f>INDEX(products!$A$1:$G$49,MATCH(orders!$D564,products!$A$1:$A$49,0),MATCH(orders!L$1,products!$A$1:$G$1,0))</f>
        <v>4.7549999999999999</v>
      </c>
      <c r="M564" s="10">
        <f t="shared" si="24"/>
        <v>28.53</v>
      </c>
      <c r="N564" t="str">
        <f t="shared" si="25"/>
        <v>Liberica</v>
      </c>
      <c r="O564" t="str">
        <f t="shared" si="26"/>
        <v>Light</v>
      </c>
      <c r="P564" t="str">
        <f>_xlfn.XLOOKUP(Table1[[#This Row],[Customer ID]],customers!$A$1:$A$1001,customers!$I$1:$I$1001,,0)</f>
        <v>No</v>
      </c>
    </row>
    <row r="565" spans="1:16" x14ac:dyDescent="0.25">
      <c r="A565" s="2" t="s">
        <v>3671</v>
      </c>
      <c r="B565" s="8">
        <v>43991</v>
      </c>
      <c r="C565" s="2" t="s">
        <v>3752</v>
      </c>
      <c r="D565" t="s">
        <v>6141</v>
      </c>
      <c r="E565" s="2">
        <v>6</v>
      </c>
      <c r="F565" s="2" t="str">
        <f>_xlfn.XLOOKUP(orders!C565,customers!$A$1:$A$1001,customers!$B$1:$B$1001,,0)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9">
        <f>INDEX(products!$A$1:$G$49,MATCH(orders!$D565,products!$A$1:$A$49,0),MATCH(orders!K$1,products!$A$1:$G$1,0))</f>
        <v>1</v>
      </c>
      <c r="L565" s="10">
        <f>INDEX(products!$A$1:$G$49,MATCH(orders!$D565,products!$A$1:$A$49,0),MATCH(orders!L$1,products!$A$1:$G$1,0))</f>
        <v>13.75</v>
      </c>
      <c r="M565" s="10">
        <f t="shared" si="24"/>
        <v>82.5</v>
      </c>
      <c r="N565" t="str">
        <f t="shared" si="25"/>
        <v>Excelsa</v>
      </c>
      <c r="O565" t="str">
        <f t="shared" si="26"/>
        <v>Medium</v>
      </c>
      <c r="P565" t="str">
        <f>_xlfn.XLOOKUP(Table1[[#This Row],[Customer ID]],customers!$A$1:$A$1001,customers!$I$1:$I$1001,,0)</f>
        <v>No</v>
      </c>
    </row>
    <row r="566" spans="1:16" x14ac:dyDescent="0.25">
      <c r="A566" s="2" t="s">
        <v>3677</v>
      </c>
      <c r="B566" s="8">
        <v>43883</v>
      </c>
      <c r="C566" s="2" t="s">
        <v>3678</v>
      </c>
      <c r="D566" t="s">
        <v>6173</v>
      </c>
      <c r="E566" s="2">
        <v>2</v>
      </c>
      <c r="F566" s="2" t="str">
        <f>_xlfn.XLOOKUP(orders!C566,customers!$A$1:$A$1001,customers!$B$1:$B$1001,,0)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9">
        <f>INDEX(products!$A$1:$G$49,MATCH(orders!$D566,products!$A$1:$A$49,0),MATCH(orders!K$1,products!$A$1:$G$1,0))</f>
        <v>0.5</v>
      </c>
      <c r="L566" s="10">
        <f>INDEX(products!$A$1:$G$49,MATCH(orders!$D566,products!$A$1:$A$49,0),MATCH(orders!L$1,products!$A$1:$G$1,0))</f>
        <v>7.169999999999999</v>
      </c>
      <c r="M566" s="10">
        <f t="shared" si="24"/>
        <v>14.339999999999998</v>
      </c>
      <c r="N566" t="str">
        <f t="shared" si="25"/>
        <v>Robusta</v>
      </c>
      <c r="O566" t="str">
        <f t="shared" si="26"/>
        <v>Light</v>
      </c>
      <c r="P566" t="str">
        <f>_xlfn.XLOOKUP(Table1[[#This Row],[Customer ID]],customers!$A$1:$A$1001,customers!$I$1:$I$1001,,0)</f>
        <v>No</v>
      </c>
    </row>
    <row r="567" spans="1:16" x14ac:dyDescent="0.25">
      <c r="A567" s="2" t="s">
        <v>3683</v>
      </c>
      <c r="B567" s="8">
        <v>44031</v>
      </c>
      <c r="C567" s="2" t="s">
        <v>3684</v>
      </c>
      <c r="D567" t="s">
        <v>6149</v>
      </c>
      <c r="E567" s="2">
        <v>4</v>
      </c>
      <c r="F567" s="2" t="str">
        <f>_xlfn.XLOOKUP(orders!C567,customers!$A$1:$A$1001,customers!$B$1:$B$1001,,0)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9">
        <f>INDEX(products!$A$1:$G$49,MATCH(orders!$D567,products!$A$1:$A$49,0),MATCH(orders!K$1,products!$A$1:$G$1,0))</f>
        <v>2.5</v>
      </c>
      <c r="L567" s="10">
        <f>INDEX(products!$A$1:$G$49,MATCH(orders!$D567,products!$A$1:$A$49,0),MATCH(orders!L$1,products!$A$1:$G$1,0))</f>
        <v>20.584999999999997</v>
      </c>
      <c r="M567" s="10">
        <f t="shared" si="24"/>
        <v>82.339999999999989</v>
      </c>
      <c r="N567" t="str">
        <f t="shared" si="25"/>
        <v>Robusta</v>
      </c>
      <c r="O567" t="str">
        <f t="shared" si="26"/>
        <v>Dark</v>
      </c>
      <c r="P567" t="str">
        <f>_xlfn.XLOOKUP(Table1[[#This Row],[Customer ID]],customers!$A$1:$A$1001,customers!$I$1:$I$1001,,0)</f>
        <v>No</v>
      </c>
    </row>
    <row r="568" spans="1:16" x14ac:dyDescent="0.25">
      <c r="A568" s="2" t="s">
        <v>3689</v>
      </c>
      <c r="B568" s="8">
        <v>44459</v>
      </c>
      <c r="C568" s="2" t="s">
        <v>3690</v>
      </c>
      <c r="D568" t="s">
        <v>6152</v>
      </c>
      <c r="E568" s="2">
        <v>6</v>
      </c>
      <c r="F568" s="2" t="str">
        <f>_xlfn.XLOOKUP(orders!C568,customers!$A$1:$A$1001,customers!$B$1:$B$1001,,0)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9">
        <f>INDEX(products!$A$1:$G$49,MATCH(orders!$D568,products!$A$1:$A$49,0),MATCH(orders!K$1,products!$A$1:$G$1,0))</f>
        <v>0.2</v>
      </c>
      <c r="L568" s="10">
        <f>INDEX(products!$A$1:$G$49,MATCH(orders!$D568,products!$A$1:$A$49,0),MATCH(orders!L$1,products!$A$1:$G$1,0))</f>
        <v>3.375</v>
      </c>
      <c r="M568" s="10">
        <f t="shared" si="24"/>
        <v>20.25</v>
      </c>
      <c r="N568" t="str">
        <f t="shared" si="25"/>
        <v>Arabica</v>
      </c>
      <c r="O568" t="str">
        <f t="shared" si="26"/>
        <v>Medium</v>
      </c>
      <c r="P568" t="str">
        <f>_xlfn.XLOOKUP(Table1[[#This Row],[Customer ID]],customers!$A$1:$A$1001,customers!$I$1:$I$1001,,0)</f>
        <v>Yes</v>
      </c>
    </row>
    <row r="569" spans="1:16" x14ac:dyDescent="0.25">
      <c r="A569" s="2" t="s">
        <v>3695</v>
      </c>
      <c r="B569" s="8">
        <v>44318</v>
      </c>
      <c r="C569" s="2" t="s">
        <v>3696</v>
      </c>
      <c r="D569" t="s">
        <v>6142</v>
      </c>
      <c r="E569" s="2">
        <v>6</v>
      </c>
      <c r="F569" s="2" t="str">
        <f>_xlfn.XLOOKUP(orders!C569,customers!$A$1:$A$1001,customers!$B$1:$B$1001,,0)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9">
        <f>INDEX(products!$A$1:$G$49,MATCH(orders!$D569,products!$A$1:$A$49,0),MATCH(orders!K$1,products!$A$1:$G$1,0))</f>
        <v>2.5</v>
      </c>
      <c r="L569" s="10">
        <f>INDEX(products!$A$1:$G$49,MATCH(orders!$D569,products!$A$1:$A$49,0),MATCH(orders!L$1,products!$A$1:$G$1,0))</f>
        <v>27.484999999999996</v>
      </c>
      <c r="M569" s="10">
        <f t="shared" si="24"/>
        <v>164.90999999999997</v>
      </c>
      <c r="N569" t="str">
        <f t="shared" si="25"/>
        <v>Robusta</v>
      </c>
      <c r="O569" t="str">
        <f t="shared" si="26"/>
        <v>Light</v>
      </c>
      <c r="P569" t="str">
        <f>_xlfn.XLOOKUP(Table1[[#This Row],[Customer ID]],customers!$A$1:$A$1001,customers!$I$1:$I$1001,,0)</f>
        <v>No</v>
      </c>
    </row>
    <row r="570" spans="1:16" x14ac:dyDescent="0.25">
      <c r="A570" s="2" t="s">
        <v>3700</v>
      </c>
      <c r="B570" s="8">
        <v>44526</v>
      </c>
      <c r="C570" s="2" t="s">
        <v>3701</v>
      </c>
      <c r="D570" t="s">
        <v>6145</v>
      </c>
      <c r="E570" s="2">
        <v>4</v>
      </c>
      <c r="F570" s="2" t="str">
        <f>_xlfn.XLOOKUP(orders!C570,customers!$A$1:$A$1001,customers!$B$1:$B$1001,,0)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9">
        <f>INDEX(products!$A$1:$G$49,MATCH(orders!$D570,products!$A$1:$A$49,0),MATCH(orders!K$1,products!$A$1:$G$1,0))</f>
        <v>0.2</v>
      </c>
      <c r="L570" s="10">
        <f>INDEX(products!$A$1:$G$49,MATCH(orders!$D570,products!$A$1:$A$49,0),MATCH(orders!L$1,products!$A$1:$G$1,0))</f>
        <v>4.7549999999999999</v>
      </c>
      <c r="M570" s="10">
        <f t="shared" si="24"/>
        <v>19.02</v>
      </c>
      <c r="N570" t="str">
        <f t="shared" si="25"/>
        <v>Liberica</v>
      </c>
      <c r="O570" t="str">
        <f t="shared" si="26"/>
        <v>Light</v>
      </c>
      <c r="P570" t="str">
        <f>_xlfn.XLOOKUP(Table1[[#This Row],[Customer ID]],customers!$A$1:$A$1001,customers!$I$1:$I$1001,,0)</f>
        <v>Yes</v>
      </c>
    </row>
    <row r="571" spans="1:16" x14ac:dyDescent="0.25">
      <c r="A571" s="2" t="s">
        <v>3706</v>
      </c>
      <c r="B571" s="8">
        <v>43879</v>
      </c>
      <c r="C571" s="2" t="s">
        <v>3752</v>
      </c>
      <c r="D571" t="s">
        <v>6168</v>
      </c>
      <c r="E571" s="2">
        <v>6</v>
      </c>
      <c r="F571" s="2" t="str">
        <f>_xlfn.XLOOKUP(orders!C571,customers!$A$1:$A$1001,customers!$B$1:$B$1001,,0)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9">
        <f>INDEX(products!$A$1:$G$49,MATCH(orders!$D571,products!$A$1:$A$49,0),MATCH(orders!K$1,products!$A$1:$G$1,0))</f>
        <v>2.5</v>
      </c>
      <c r="L571" s="10">
        <f>INDEX(products!$A$1:$G$49,MATCH(orders!$D571,products!$A$1:$A$49,0),MATCH(orders!L$1,products!$A$1:$G$1,0))</f>
        <v>22.884999999999998</v>
      </c>
      <c r="M571" s="10">
        <f t="shared" si="24"/>
        <v>137.31</v>
      </c>
      <c r="N571" t="str">
        <f t="shared" si="25"/>
        <v>Arabica</v>
      </c>
      <c r="O571" t="str">
        <f t="shared" si="26"/>
        <v>Dark</v>
      </c>
      <c r="P571" t="str">
        <f>_xlfn.XLOOKUP(Table1[[#This Row],[Customer ID]],customers!$A$1:$A$1001,customers!$I$1:$I$1001,,0)</f>
        <v>No</v>
      </c>
    </row>
    <row r="572" spans="1:16" x14ac:dyDescent="0.25">
      <c r="A572" s="2" t="s">
        <v>3712</v>
      </c>
      <c r="B572" s="8">
        <v>43928</v>
      </c>
      <c r="C572" s="2" t="s">
        <v>3713</v>
      </c>
      <c r="D572" t="s">
        <v>6157</v>
      </c>
      <c r="E572" s="2">
        <v>4</v>
      </c>
      <c r="F572" s="2" t="str">
        <f>_xlfn.XLOOKUP(orders!C572,customers!$A$1:$A$1001,customers!$B$1:$B$1001,,0)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9">
        <f>INDEX(products!$A$1:$G$49,MATCH(orders!$D572,products!$A$1:$A$49,0),MATCH(orders!K$1,products!$A$1:$G$1,0))</f>
        <v>0.5</v>
      </c>
      <c r="L572" s="10">
        <f>INDEX(products!$A$1:$G$49,MATCH(orders!$D572,products!$A$1:$A$49,0),MATCH(orders!L$1,products!$A$1:$G$1,0))</f>
        <v>6.75</v>
      </c>
      <c r="M572" s="10">
        <f t="shared" si="24"/>
        <v>27</v>
      </c>
      <c r="N572" t="str">
        <f t="shared" si="25"/>
        <v>Arabica</v>
      </c>
      <c r="O572" t="str">
        <f t="shared" si="26"/>
        <v>Medium</v>
      </c>
      <c r="P572" t="str">
        <f>_xlfn.XLOOKUP(Table1[[#This Row],[Customer ID]],customers!$A$1:$A$1001,customers!$I$1:$I$1001,,0)</f>
        <v>No</v>
      </c>
    </row>
    <row r="573" spans="1:16" x14ac:dyDescent="0.25">
      <c r="A573" s="2" t="s">
        <v>3718</v>
      </c>
      <c r="B573" s="8">
        <v>44592</v>
      </c>
      <c r="C573" s="2" t="s">
        <v>3719</v>
      </c>
      <c r="D573" t="s">
        <v>6176</v>
      </c>
      <c r="E573" s="2">
        <v>4</v>
      </c>
      <c r="F573" s="2" t="str">
        <f>_xlfn.XLOOKUP(orders!C573,customers!$A$1:$A$1001,customers!$B$1:$B$1001,,0)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9">
        <f>INDEX(products!$A$1:$G$49,MATCH(orders!$D573,products!$A$1:$A$49,0),MATCH(orders!K$1,products!$A$1:$G$1,0))</f>
        <v>0.5</v>
      </c>
      <c r="L573" s="10">
        <f>INDEX(products!$A$1:$G$49,MATCH(orders!$D573,products!$A$1:$A$49,0),MATCH(orders!L$1,products!$A$1:$G$1,0))</f>
        <v>8.91</v>
      </c>
      <c r="M573" s="10">
        <f t="shared" si="24"/>
        <v>35.64</v>
      </c>
      <c r="N573" t="str">
        <f t="shared" si="25"/>
        <v>Excelsa</v>
      </c>
      <c r="O573" t="str">
        <f t="shared" si="26"/>
        <v>Light</v>
      </c>
      <c r="P573" t="str">
        <f>_xlfn.XLOOKUP(Table1[[#This Row],[Customer ID]],customers!$A$1:$A$1001,customers!$I$1:$I$1001,,0)</f>
        <v>No</v>
      </c>
    </row>
    <row r="574" spans="1:16" x14ac:dyDescent="0.25">
      <c r="A574" s="2" t="s">
        <v>3724</v>
      </c>
      <c r="B574" s="8">
        <v>43515</v>
      </c>
      <c r="C574" s="2" t="s">
        <v>3725</v>
      </c>
      <c r="D574" t="s">
        <v>6154</v>
      </c>
      <c r="E574" s="2">
        <v>2</v>
      </c>
      <c r="F574" s="2" t="str">
        <f>_xlfn.XLOOKUP(orders!C574,customers!$A$1:$A$1001,customers!$B$1:$B$1001,,0)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9">
        <f>INDEX(products!$A$1:$G$49,MATCH(orders!$D574,products!$A$1:$A$49,0),MATCH(orders!K$1,products!$A$1:$G$1,0))</f>
        <v>0.2</v>
      </c>
      <c r="L574" s="10">
        <f>INDEX(products!$A$1:$G$49,MATCH(orders!$D574,products!$A$1:$A$49,0),MATCH(orders!L$1,products!$A$1:$G$1,0))</f>
        <v>2.9849999999999999</v>
      </c>
      <c r="M574" s="10">
        <f t="shared" si="24"/>
        <v>5.97</v>
      </c>
      <c r="N574" t="str">
        <f t="shared" si="25"/>
        <v>Arabica</v>
      </c>
      <c r="O574" t="str">
        <f t="shared" si="26"/>
        <v>Dark</v>
      </c>
      <c r="P574" t="str">
        <f>_xlfn.XLOOKUP(Table1[[#This Row],[Customer ID]],customers!$A$1:$A$1001,customers!$I$1:$I$1001,,0)</f>
        <v>Yes</v>
      </c>
    </row>
    <row r="575" spans="1:16" x14ac:dyDescent="0.25">
      <c r="A575" s="2" t="s">
        <v>3728</v>
      </c>
      <c r="B575" s="8">
        <v>43781</v>
      </c>
      <c r="C575" s="2" t="s">
        <v>3729</v>
      </c>
      <c r="D575" t="s">
        <v>6155</v>
      </c>
      <c r="E575" s="2">
        <v>6</v>
      </c>
      <c r="F575" s="2" t="str">
        <f>_xlfn.XLOOKUP(orders!C575,customers!$A$1:$A$1001,customers!$B$1:$B$1001,,0)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9">
        <f>INDEX(products!$A$1:$G$49,MATCH(orders!$D575,products!$A$1:$A$49,0),MATCH(orders!K$1,products!$A$1:$G$1,0))</f>
        <v>1</v>
      </c>
      <c r="L575" s="10">
        <f>INDEX(products!$A$1:$G$49,MATCH(orders!$D575,products!$A$1:$A$49,0),MATCH(orders!L$1,products!$A$1:$G$1,0))</f>
        <v>11.25</v>
      </c>
      <c r="M575" s="10">
        <f t="shared" si="24"/>
        <v>67.5</v>
      </c>
      <c r="N575" t="str">
        <f t="shared" si="25"/>
        <v>Arabica</v>
      </c>
      <c r="O575" t="str">
        <f t="shared" si="26"/>
        <v>Medium</v>
      </c>
      <c r="P575" t="str">
        <f>_xlfn.XLOOKUP(Table1[[#This Row],[Customer ID]],customers!$A$1:$A$1001,customers!$I$1:$I$1001,,0)</f>
        <v>No</v>
      </c>
    </row>
    <row r="576" spans="1:16" x14ac:dyDescent="0.25">
      <c r="A576" s="2" t="s">
        <v>3734</v>
      </c>
      <c r="B576" s="8">
        <v>44697</v>
      </c>
      <c r="C576" s="2" t="s">
        <v>3735</v>
      </c>
      <c r="D576" t="s">
        <v>6178</v>
      </c>
      <c r="E576" s="2">
        <v>6</v>
      </c>
      <c r="F576" s="2" t="str">
        <f>_xlfn.XLOOKUP(orders!C576,customers!$A$1:$A$1001,customers!$B$1:$B$1001,,0)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9">
        <f>INDEX(products!$A$1:$G$49,MATCH(orders!$D576,products!$A$1:$A$49,0),MATCH(orders!K$1,products!$A$1:$G$1,0))</f>
        <v>0.2</v>
      </c>
      <c r="L576" s="10">
        <f>INDEX(products!$A$1:$G$49,MATCH(orders!$D576,products!$A$1:$A$49,0),MATCH(orders!L$1,products!$A$1:$G$1,0))</f>
        <v>3.5849999999999995</v>
      </c>
      <c r="M576" s="10">
        <f t="shared" si="24"/>
        <v>21.509999999999998</v>
      </c>
      <c r="N576" t="str">
        <f t="shared" si="25"/>
        <v>Robusta</v>
      </c>
      <c r="O576" t="str">
        <f t="shared" si="26"/>
        <v>Light</v>
      </c>
      <c r="P576" t="str">
        <f>_xlfn.XLOOKUP(Table1[[#This Row],[Customer ID]],customers!$A$1:$A$1001,customers!$I$1:$I$1001,,0)</f>
        <v>Yes</v>
      </c>
    </row>
    <row r="577" spans="1:16" x14ac:dyDescent="0.25">
      <c r="A577" s="2" t="s">
        <v>3739</v>
      </c>
      <c r="B577" s="8">
        <v>44239</v>
      </c>
      <c r="C577" s="2" t="s">
        <v>3740</v>
      </c>
      <c r="D577" t="s">
        <v>6181</v>
      </c>
      <c r="E577" s="2">
        <v>2</v>
      </c>
      <c r="F577" s="2" t="str">
        <f>_xlfn.XLOOKUP(orders!C577,customers!$A$1:$A$1001,customers!$B$1:$B$1001,,0)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9">
        <f>INDEX(products!$A$1:$G$49,MATCH(orders!$D577,products!$A$1:$A$49,0),MATCH(orders!K$1,products!$A$1:$G$1,0))</f>
        <v>2.5</v>
      </c>
      <c r="L577" s="10">
        <f>INDEX(products!$A$1:$G$49,MATCH(orders!$D577,products!$A$1:$A$49,0),MATCH(orders!L$1,products!$A$1:$G$1,0))</f>
        <v>33.464999999999996</v>
      </c>
      <c r="M577" s="10">
        <f t="shared" si="24"/>
        <v>66.929999999999993</v>
      </c>
      <c r="N577" t="str">
        <f t="shared" si="25"/>
        <v>Liberica</v>
      </c>
      <c r="O577" t="str">
        <f t="shared" si="26"/>
        <v>Medium</v>
      </c>
      <c r="P577" t="str">
        <f>_xlfn.XLOOKUP(Table1[[#This Row],[Customer ID]],customers!$A$1:$A$1001,customers!$I$1:$I$1001,,0)</f>
        <v>No</v>
      </c>
    </row>
    <row r="578" spans="1:16" x14ac:dyDescent="0.25">
      <c r="A578" s="2" t="s">
        <v>3745</v>
      </c>
      <c r="B578" s="8">
        <v>44290</v>
      </c>
      <c r="C578" s="2" t="s">
        <v>3746</v>
      </c>
      <c r="D578" t="s">
        <v>6154</v>
      </c>
      <c r="E578" s="2">
        <v>6</v>
      </c>
      <c r="F578" s="2" t="str">
        <f>_xlfn.XLOOKUP(orders!C578,customers!$A$1:$A$1001,customers!$B$1:$B$1001,,0)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9">
        <f>INDEX(products!$A$1:$G$49,MATCH(orders!$D578,products!$A$1:$A$49,0),MATCH(orders!K$1,products!$A$1:$G$1,0))</f>
        <v>0.2</v>
      </c>
      <c r="L578" s="10">
        <f>INDEX(products!$A$1:$G$49,MATCH(orders!$D578,products!$A$1:$A$49,0),MATCH(orders!L$1,products!$A$1:$G$1,0))</f>
        <v>2.9849999999999999</v>
      </c>
      <c r="M578" s="10">
        <f t="shared" si="24"/>
        <v>17.91</v>
      </c>
      <c r="N578" t="str">
        <f t="shared" si="25"/>
        <v>Arabica</v>
      </c>
      <c r="O578" t="str">
        <f t="shared" si="26"/>
        <v>Dark</v>
      </c>
      <c r="P578" t="str">
        <f>_xlfn.XLOOKUP(Table1[[#This Row],[Customer ID]],customers!$A$1:$A$1001,customers!$I$1:$I$1001,,0)</f>
        <v>No</v>
      </c>
    </row>
    <row r="579" spans="1:16" x14ac:dyDescent="0.25">
      <c r="A579" s="2" t="s">
        <v>3751</v>
      </c>
      <c r="B579" s="8">
        <v>44410</v>
      </c>
      <c r="C579" s="2" t="s">
        <v>3752</v>
      </c>
      <c r="D579" t="s">
        <v>6162</v>
      </c>
      <c r="E579" s="2">
        <v>4</v>
      </c>
      <c r="F579" s="2" t="str">
        <f>_xlfn.XLOOKUP(orders!C579,customers!$A$1:$A$1001,customers!$B$1:$B$1001,,0)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9">
        <f>INDEX(products!$A$1:$G$49,MATCH(orders!$D579,products!$A$1:$A$49,0),MATCH(orders!K$1,products!$A$1:$G$1,0))</f>
        <v>1</v>
      </c>
      <c r="L579" s="10">
        <f>INDEX(products!$A$1:$G$49,MATCH(orders!$D579,products!$A$1:$A$49,0),MATCH(orders!L$1,products!$A$1:$G$1,0))</f>
        <v>14.55</v>
      </c>
      <c r="M579" s="10">
        <f t="shared" ref="M579:M642" si="27">L579*E579</f>
        <v>58.2</v>
      </c>
      <c r="N579" t="str">
        <f t="shared" ref="N579:N642" si="28">IF(I579="Rob", "Robusta", IF(I579="Exc","Excelsa", IF(I579="Ara","Arabica", IF(I579="Lib","Liberica",""))))</f>
        <v>Liberica</v>
      </c>
      <c r="O579" t="str">
        <f t="shared" ref="O579:O642" si="29">IF(J579="M", "Medium", IF(J579="L","Light",IF(J579="D","Dark","")))</f>
        <v>Medium</v>
      </c>
      <c r="P579" t="str">
        <f>_xlfn.XLOOKUP(Table1[[#This Row],[Customer ID]],customers!$A$1:$A$1001,customers!$I$1:$I$1001,,0)</f>
        <v>No</v>
      </c>
    </row>
    <row r="580" spans="1:16" x14ac:dyDescent="0.25">
      <c r="A580" s="2" t="s">
        <v>3756</v>
      </c>
      <c r="B580" s="8">
        <v>44720</v>
      </c>
      <c r="C580" s="2" t="s">
        <v>3757</v>
      </c>
      <c r="D580" t="s">
        <v>6184</v>
      </c>
      <c r="E580" s="2">
        <v>3</v>
      </c>
      <c r="F580" s="2" t="str">
        <f>_xlfn.XLOOKUP(orders!C580,customers!$A$1:$A$1001,customers!$B$1:$B$1001,,0)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9">
        <f>INDEX(products!$A$1:$G$49,MATCH(orders!$D580,products!$A$1:$A$49,0),MATCH(orders!K$1,products!$A$1:$G$1,0))</f>
        <v>0.2</v>
      </c>
      <c r="L580" s="10">
        <f>INDEX(products!$A$1:$G$49,MATCH(orders!$D580,products!$A$1:$A$49,0),MATCH(orders!L$1,products!$A$1:$G$1,0))</f>
        <v>4.4550000000000001</v>
      </c>
      <c r="M580" s="10">
        <f t="shared" si="27"/>
        <v>13.365</v>
      </c>
      <c r="N580" t="str">
        <f t="shared" si="28"/>
        <v>Excelsa</v>
      </c>
      <c r="O580" t="str">
        <f t="shared" si="29"/>
        <v>Light</v>
      </c>
      <c r="P580" t="str">
        <f>_xlfn.XLOOKUP(Table1[[#This Row],[Customer ID]],customers!$A$1:$A$1001,customers!$I$1:$I$1001,,0)</f>
        <v>No</v>
      </c>
    </row>
    <row r="581" spans="1:16" x14ac:dyDescent="0.25">
      <c r="A581" s="2" t="s">
        <v>3756</v>
      </c>
      <c r="B581" s="8">
        <v>44720</v>
      </c>
      <c r="C581" s="2" t="s">
        <v>3757</v>
      </c>
      <c r="D581" t="s">
        <v>6157</v>
      </c>
      <c r="E581" s="2">
        <v>5</v>
      </c>
      <c r="F581" s="2" t="str">
        <f>_xlfn.XLOOKUP(orders!C581,customers!$A$1:$A$1001,customers!$B$1:$B$1001,,0)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9">
        <f>INDEX(products!$A$1:$G$49,MATCH(orders!$D581,products!$A$1:$A$49,0),MATCH(orders!K$1,products!$A$1:$G$1,0))</f>
        <v>0.5</v>
      </c>
      <c r="L581" s="10">
        <f>INDEX(products!$A$1:$G$49,MATCH(orders!$D581,products!$A$1:$A$49,0),MATCH(orders!L$1,products!$A$1:$G$1,0))</f>
        <v>6.75</v>
      </c>
      <c r="M581" s="10">
        <f t="shared" si="27"/>
        <v>33.75</v>
      </c>
      <c r="N581" t="str">
        <f t="shared" si="28"/>
        <v>Arabica</v>
      </c>
      <c r="O581" t="str">
        <f t="shared" si="29"/>
        <v>Medium</v>
      </c>
      <c r="P581" t="str">
        <f>_xlfn.XLOOKUP(Table1[[#This Row],[Customer ID]],customers!$A$1:$A$1001,customers!$I$1:$I$1001,,0)</f>
        <v>No</v>
      </c>
    </row>
    <row r="582" spans="1:16" x14ac:dyDescent="0.25">
      <c r="A582" s="2" t="s">
        <v>3767</v>
      </c>
      <c r="B582" s="8">
        <v>43965</v>
      </c>
      <c r="C582" s="2" t="s">
        <v>3768</v>
      </c>
      <c r="D582" t="s">
        <v>6171</v>
      </c>
      <c r="E582" s="2">
        <v>3</v>
      </c>
      <c r="F582" s="2" t="str">
        <f>_xlfn.XLOOKUP(orders!C582,customers!$A$1:$A$1001,customers!$B$1:$B$1001,,0)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9">
        <f>INDEX(products!$A$1:$G$49,MATCH(orders!$D582,products!$A$1:$A$49,0),MATCH(orders!K$1,products!$A$1:$G$1,0))</f>
        <v>1</v>
      </c>
      <c r="L582" s="10">
        <f>INDEX(products!$A$1:$G$49,MATCH(orders!$D582,products!$A$1:$A$49,0),MATCH(orders!L$1,products!$A$1:$G$1,0))</f>
        <v>14.85</v>
      </c>
      <c r="M582" s="10">
        <f t="shared" si="27"/>
        <v>44.55</v>
      </c>
      <c r="N582" t="str">
        <f t="shared" si="28"/>
        <v>Excelsa</v>
      </c>
      <c r="O582" t="str">
        <f t="shared" si="29"/>
        <v>Light</v>
      </c>
      <c r="P582" t="str">
        <f>_xlfn.XLOOKUP(Table1[[#This Row],[Customer ID]],customers!$A$1:$A$1001,customers!$I$1:$I$1001,,0)</f>
        <v>Yes</v>
      </c>
    </row>
    <row r="583" spans="1:16" x14ac:dyDescent="0.25">
      <c r="A583" s="2" t="s">
        <v>3773</v>
      </c>
      <c r="B583" s="8">
        <v>44190</v>
      </c>
      <c r="C583" s="2" t="s">
        <v>3774</v>
      </c>
      <c r="D583" t="s">
        <v>6176</v>
      </c>
      <c r="E583" s="2">
        <v>5</v>
      </c>
      <c r="F583" s="2" t="str">
        <f>_xlfn.XLOOKUP(orders!C583,customers!$A$1:$A$1001,customers!$B$1:$B$1001,,0)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9">
        <f>INDEX(products!$A$1:$G$49,MATCH(orders!$D583,products!$A$1:$A$49,0),MATCH(orders!K$1,products!$A$1:$G$1,0))</f>
        <v>0.5</v>
      </c>
      <c r="L583" s="10">
        <f>INDEX(products!$A$1:$G$49,MATCH(orders!$D583,products!$A$1:$A$49,0),MATCH(orders!L$1,products!$A$1:$G$1,0))</f>
        <v>8.91</v>
      </c>
      <c r="M583" s="10">
        <f t="shared" si="27"/>
        <v>44.55</v>
      </c>
      <c r="N583" t="str">
        <f t="shared" si="28"/>
        <v>Excelsa</v>
      </c>
      <c r="O583" t="str">
        <f t="shared" si="29"/>
        <v>Light</v>
      </c>
      <c r="P583" t="str">
        <f>_xlfn.XLOOKUP(Table1[[#This Row],[Customer ID]],customers!$A$1:$A$1001,customers!$I$1:$I$1001,,0)</f>
        <v>Yes</v>
      </c>
    </row>
    <row r="584" spans="1:16" x14ac:dyDescent="0.25">
      <c r="A584" s="2" t="s">
        <v>3778</v>
      </c>
      <c r="B584" s="8">
        <v>44382</v>
      </c>
      <c r="C584" s="2" t="s">
        <v>3779</v>
      </c>
      <c r="D584" t="s">
        <v>6183</v>
      </c>
      <c r="E584" s="2">
        <v>5</v>
      </c>
      <c r="F584" s="2" t="str">
        <f>_xlfn.XLOOKUP(orders!C584,customers!$A$1:$A$1001,customers!$B$1:$B$1001,,0)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9">
        <f>INDEX(products!$A$1:$G$49,MATCH(orders!$D584,products!$A$1:$A$49,0),MATCH(orders!K$1,products!$A$1:$G$1,0))</f>
        <v>1</v>
      </c>
      <c r="L584" s="10">
        <f>INDEX(products!$A$1:$G$49,MATCH(orders!$D584,products!$A$1:$A$49,0),MATCH(orders!L$1,products!$A$1:$G$1,0))</f>
        <v>12.15</v>
      </c>
      <c r="M584" s="10">
        <f t="shared" si="27"/>
        <v>60.75</v>
      </c>
      <c r="N584" t="str">
        <f t="shared" si="28"/>
        <v>Excelsa</v>
      </c>
      <c r="O584" t="str">
        <f t="shared" si="29"/>
        <v>Dark</v>
      </c>
      <c r="P584" t="str">
        <f>_xlfn.XLOOKUP(Table1[[#This Row],[Customer ID]],customers!$A$1:$A$1001,customers!$I$1:$I$1001,,0)</f>
        <v>No</v>
      </c>
    </row>
    <row r="585" spans="1:16" x14ac:dyDescent="0.25">
      <c r="A585" s="2" t="s">
        <v>3784</v>
      </c>
      <c r="B585" s="8">
        <v>43538</v>
      </c>
      <c r="C585" s="2" t="s">
        <v>3785</v>
      </c>
      <c r="D585" t="s">
        <v>6178</v>
      </c>
      <c r="E585" s="2">
        <v>1</v>
      </c>
      <c r="F585" s="2" t="str">
        <f>_xlfn.XLOOKUP(orders!C585,customers!$A$1:$A$1001,customers!$B$1:$B$1001,,0)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9">
        <f>INDEX(products!$A$1:$G$49,MATCH(orders!$D585,products!$A$1:$A$49,0),MATCH(orders!K$1,products!$A$1:$G$1,0))</f>
        <v>0.2</v>
      </c>
      <c r="L585" s="10">
        <f>INDEX(products!$A$1:$G$49,MATCH(orders!$D585,products!$A$1:$A$49,0),MATCH(orders!L$1,products!$A$1:$G$1,0))</f>
        <v>3.5849999999999995</v>
      </c>
      <c r="M585" s="10">
        <f t="shared" si="27"/>
        <v>3.5849999999999995</v>
      </c>
      <c r="N585" t="str">
        <f t="shared" si="28"/>
        <v>Robusta</v>
      </c>
      <c r="O585" t="str">
        <f t="shared" si="29"/>
        <v>Light</v>
      </c>
      <c r="P585" t="str">
        <f>_xlfn.XLOOKUP(Table1[[#This Row],[Customer ID]],customers!$A$1:$A$1001,customers!$I$1:$I$1001,,0)</f>
        <v>Yes</v>
      </c>
    </row>
    <row r="586" spans="1:16" x14ac:dyDescent="0.25">
      <c r="A586" s="2" t="s">
        <v>3790</v>
      </c>
      <c r="B586" s="8">
        <v>44262</v>
      </c>
      <c r="C586" s="2" t="s">
        <v>3791</v>
      </c>
      <c r="D586" t="s">
        <v>6178</v>
      </c>
      <c r="E586" s="2">
        <v>6</v>
      </c>
      <c r="F586" s="2" t="str">
        <f>_xlfn.XLOOKUP(orders!C586,customers!$A$1:$A$1001,customers!$B$1:$B$1001,,0)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9">
        <f>INDEX(products!$A$1:$G$49,MATCH(orders!$D586,products!$A$1:$A$49,0),MATCH(orders!K$1,products!$A$1:$G$1,0))</f>
        <v>0.2</v>
      </c>
      <c r="L586" s="10">
        <f>INDEX(products!$A$1:$G$49,MATCH(orders!$D586,products!$A$1:$A$49,0),MATCH(orders!L$1,products!$A$1:$G$1,0))</f>
        <v>3.5849999999999995</v>
      </c>
      <c r="M586" s="10">
        <f t="shared" si="27"/>
        <v>21.509999999999998</v>
      </c>
      <c r="N586" t="str">
        <f t="shared" si="28"/>
        <v>Robusta</v>
      </c>
      <c r="O586" t="str">
        <f t="shared" si="29"/>
        <v>Light</v>
      </c>
      <c r="P586" t="str">
        <f>_xlfn.XLOOKUP(Table1[[#This Row],[Customer ID]],customers!$A$1:$A$1001,customers!$I$1:$I$1001,,0)</f>
        <v>No</v>
      </c>
    </row>
    <row r="587" spans="1:16" x14ac:dyDescent="0.25">
      <c r="A587" s="2" t="s">
        <v>3796</v>
      </c>
      <c r="B587" s="8">
        <v>44505</v>
      </c>
      <c r="C587" s="2" t="s">
        <v>3840</v>
      </c>
      <c r="D587" t="s">
        <v>6139</v>
      </c>
      <c r="E587" s="2">
        <v>2</v>
      </c>
      <c r="F587" s="2" t="str">
        <f>_xlfn.XLOOKUP(orders!C587,customers!$A$1:$A$1001,customers!$B$1:$B$1001,,0)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9">
        <f>INDEX(products!$A$1:$G$49,MATCH(orders!$D587,products!$A$1:$A$49,0),MATCH(orders!K$1,products!$A$1:$G$1,0))</f>
        <v>0.5</v>
      </c>
      <c r="L587" s="10">
        <f>INDEX(products!$A$1:$G$49,MATCH(orders!$D587,products!$A$1:$A$49,0),MATCH(orders!L$1,products!$A$1:$G$1,0))</f>
        <v>8.25</v>
      </c>
      <c r="M587" s="10">
        <f t="shared" si="27"/>
        <v>16.5</v>
      </c>
      <c r="N587" t="str">
        <f t="shared" si="28"/>
        <v>Excelsa</v>
      </c>
      <c r="O587" t="str">
        <f t="shared" si="29"/>
        <v>Medium</v>
      </c>
      <c r="P587" t="str">
        <f>_xlfn.XLOOKUP(Table1[[#This Row],[Customer ID]],customers!$A$1:$A$1001,customers!$I$1:$I$1001,,0)</f>
        <v>Yes</v>
      </c>
    </row>
    <row r="588" spans="1:16" x14ac:dyDescent="0.25">
      <c r="A588" s="2" t="s">
        <v>3802</v>
      </c>
      <c r="B588" s="8">
        <v>43867</v>
      </c>
      <c r="C588" s="2" t="s">
        <v>3803</v>
      </c>
      <c r="D588" t="s">
        <v>6142</v>
      </c>
      <c r="E588" s="2">
        <v>3</v>
      </c>
      <c r="F588" s="2" t="str">
        <f>_xlfn.XLOOKUP(orders!C588,customers!$A$1:$A$1001,customers!$B$1:$B$1001,,0)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9">
        <f>INDEX(products!$A$1:$G$49,MATCH(orders!$D588,products!$A$1:$A$49,0),MATCH(orders!K$1,products!$A$1:$G$1,0))</f>
        <v>2.5</v>
      </c>
      <c r="L588" s="10">
        <f>INDEX(products!$A$1:$G$49,MATCH(orders!$D588,products!$A$1:$A$49,0),MATCH(orders!L$1,products!$A$1:$G$1,0))</f>
        <v>27.484999999999996</v>
      </c>
      <c r="M588" s="10">
        <f t="shared" si="27"/>
        <v>82.454999999999984</v>
      </c>
      <c r="N588" t="str">
        <f t="shared" si="28"/>
        <v>Robusta</v>
      </c>
      <c r="O588" t="str">
        <f t="shared" si="29"/>
        <v>Light</v>
      </c>
      <c r="P588" t="str">
        <f>_xlfn.XLOOKUP(Table1[[#This Row],[Customer ID]],customers!$A$1:$A$1001,customers!$I$1:$I$1001,,0)</f>
        <v>No</v>
      </c>
    </row>
    <row r="589" spans="1:16" x14ac:dyDescent="0.25">
      <c r="A589" s="2" t="s">
        <v>3807</v>
      </c>
      <c r="B589" s="8">
        <v>44267</v>
      </c>
      <c r="C589" s="2" t="s">
        <v>3808</v>
      </c>
      <c r="D589" t="s">
        <v>6169</v>
      </c>
      <c r="E589" s="2">
        <v>1</v>
      </c>
      <c r="F589" s="2" t="str">
        <f>_xlfn.XLOOKUP(orders!C589,customers!$A$1:$A$1001,customers!$B$1:$B$1001,,0)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9">
        <f>INDEX(products!$A$1:$G$49,MATCH(orders!$D589,products!$A$1:$A$49,0),MATCH(orders!K$1,products!$A$1:$G$1,0))</f>
        <v>0.5</v>
      </c>
      <c r="L589" s="10">
        <f>INDEX(products!$A$1:$G$49,MATCH(orders!$D589,products!$A$1:$A$49,0),MATCH(orders!L$1,products!$A$1:$G$1,0))</f>
        <v>7.77</v>
      </c>
      <c r="M589" s="10">
        <f t="shared" si="27"/>
        <v>7.77</v>
      </c>
      <c r="N589" t="str">
        <f t="shared" si="28"/>
        <v>Liberica</v>
      </c>
      <c r="O589" t="str">
        <f t="shared" si="29"/>
        <v>Dark</v>
      </c>
      <c r="P589" t="str">
        <f>_xlfn.XLOOKUP(Table1[[#This Row],[Customer ID]],customers!$A$1:$A$1001,customers!$I$1:$I$1001,,0)</f>
        <v>Yes</v>
      </c>
    </row>
    <row r="590" spans="1:16" x14ac:dyDescent="0.25">
      <c r="A590" s="2" t="s">
        <v>3812</v>
      </c>
      <c r="B590" s="8">
        <v>44046</v>
      </c>
      <c r="C590" s="2" t="s">
        <v>3813</v>
      </c>
      <c r="D590" t="s">
        <v>6146</v>
      </c>
      <c r="E590" s="2">
        <v>2</v>
      </c>
      <c r="F590" s="2" t="str">
        <f>_xlfn.XLOOKUP(orders!C590,customers!$A$1:$A$1001,customers!$B$1:$B$1001,,0)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9">
        <f>INDEX(products!$A$1:$G$49,MATCH(orders!$D590,products!$A$1:$A$49,0),MATCH(orders!K$1,products!$A$1:$G$1,0))</f>
        <v>0.5</v>
      </c>
      <c r="L590" s="10">
        <f>INDEX(products!$A$1:$G$49,MATCH(orders!$D590,products!$A$1:$A$49,0),MATCH(orders!L$1,products!$A$1:$G$1,0))</f>
        <v>5.97</v>
      </c>
      <c r="M590" s="10">
        <f t="shared" si="27"/>
        <v>11.94</v>
      </c>
      <c r="N590" t="str">
        <f t="shared" si="28"/>
        <v>Robusta</v>
      </c>
      <c r="O590" t="str">
        <f t="shared" si="29"/>
        <v>Medium</v>
      </c>
      <c r="P590" t="str">
        <f>_xlfn.XLOOKUP(Table1[[#This Row],[Customer ID]],customers!$A$1:$A$1001,customers!$I$1:$I$1001,,0)</f>
        <v>Yes</v>
      </c>
    </row>
    <row r="591" spans="1:16" x14ac:dyDescent="0.25">
      <c r="A591" s="2" t="s">
        <v>3818</v>
      </c>
      <c r="B591" s="8">
        <v>43671</v>
      </c>
      <c r="C591" s="2" t="s">
        <v>3819</v>
      </c>
      <c r="D591" t="s">
        <v>6148</v>
      </c>
      <c r="E591" s="2">
        <v>6</v>
      </c>
      <c r="F591" s="2" t="str">
        <f>_xlfn.XLOOKUP(orders!C591,customers!$A$1:$A$1001,customers!$B$1:$B$1001,,0)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9">
        <f>INDEX(products!$A$1:$G$49,MATCH(orders!$D591,products!$A$1:$A$49,0),MATCH(orders!K$1,products!$A$1:$G$1,0))</f>
        <v>2.5</v>
      </c>
      <c r="L591" s="10">
        <f>INDEX(products!$A$1:$G$49,MATCH(orders!$D591,products!$A$1:$A$49,0),MATCH(orders!L$1,products!$A$1:$G$1,0))</f>
        <v>34.154999999999994</v>
      </c>
      <c r="M591" s="10">
        <f t="shared" si="27"/>
        <v>204.92999999999995</v>
      </c>
      <c r="N591" t="str">
        <f t="shared" si="28"/>
        <v>Excelsa</v>
      </c>
      <c r="O591" t="str">
        <f t="shared" si="29"/>
        <v>Light</v>
      </c>
      <c r="P591" t="str">
        <f>_xlfn.XLOOKUP(Table1[[#This Row],[Customer ID]],customers!$A$1:$A$1001,customers!$I$1:$I$1001,,0)</f>
        <v>No</v>
      </c>
    </row>
    <row r="592" spans="1:16" x14ac:dyDescent="0.25">
      <c r="A592" s="2" t="s">
        <v>3823</v>
      </c>
      <c r="B592" s="8">
        <v>43950</v>
      </c>
      <c r="C592" s="2" t="s">
        <v>3824</v>
      </c>
      <c r="D592" t="s">
        <v>6166</v>
      </c>
      <c r="E592" s="2">
        <v>2</v>
      </c>
      <c r="F592" s="2" t="str">
        <f>_xlfn.XLOOKUP(orders!C592,customers!$A$1:$A$1001,customers!$B$1:$B$1001,,0)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9">
        <f>INDEX(products!$A$1:$G$49,MATCH(orders!$D592,products!$A$1:$A$49,0),MATCH(orders!K$1,products!$A$1:$G$1,0))</f>
        <v>2.5</v>
      </c>
      <c r="L592" s="10">
        <f>INDEX(products!$A$1:$G$49,MATCH(orders!$D592,products!$A$1:$A$49,0),MATCH(orders!L$1,products!$A$1:$G$1,0))</f>
        <v>31.624999999999996</v>
      </c>
      <c r="M592" s="10">
        <f t="shared" si="27"/>
        <v>63.249999999999993</v>
      </c>
      <c r="N592" t="str">
        <f t="shared" si="28"/>
        <v>Excelsa</v>
      </c>
      <c r="O592" t="str">
        <f t="shared" si="29"/>
        <v>Medium</v>
      </c>
      <c r="P592" t="str">
        <f>_xlfn.XLOOKUP(Table1[[#This Row],[Customer ID]],customers!$A$1:$A$1001,customers!$I$1:$I$1001,,0)</f>
        <v>Yes</v>
      </c>
    </row>
    <row r="593" spans="1:16" x14ac:dyDescent="0.25">
      <c r="A593" s="2" t="s">
        <v>3829</v>
      </c>
      <c r="B593" s="8">
        <v>43587</v>
      </c>
      <c r="C593" s="2" t="s">
        <v>3830</v>
      </c>
      <c r="D593" t="s">
        <v>6163</v>
      </c>
      <c r="E593" s="2">
        <v>3</v>
      </c>
      <c r="F593" s="2" t="str">
        <f>_xlfn.XLOOKUP(orders!C593,customers!$A$1:$A$1001,customers!$B$1:$B$1001,,0)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9">
        <f>INDEX(products!$A$1:$G$49,MATCH(orders!$D593,products!$A$1:$A$49,0),MATCH(orders!K$1,products!$A$1:$G$1,0))</f>
        <v>0.2</v>
      </c>
      <c r="L593" s="10">
        <f>INDEX(products!$A$1:$G$49,MATCH(orders!$D593,products!$A$1:$A$49,0),MATCH(orders!L$1,products!$A$1:$G$1,0))</f>
        <v>2.6849999999999996</v>
      </c>
      <c r="M593" s="10">
        <f t="shared" si="27"/>
        <v>8.0549999999999997</v>
      </c>
      <c r="N593" t="str">
        <f t="shared" si="28"/>
        <v>Robusta</v>
      </c>
      <c r="O593" t="str">
        <f t="shared" si="29"/>
        <v>Dark</v>
      </c>
      <c r="P593" t="str">
        <f>_xlfn.XLOOKUP(Table1[[#This Row],[Customer ID]],customers!$A$1:$A$1001,customers!$I$1:$I$1001,,0)</f>
        <v>Yes</v>
      </c>
    </row>
    <row r="594" spans="1:16" x14ac:dyDescent="0.25">
      <c r="A594" s="2" t="s">
        <v>3834</v>
      </c>
      <c r="B594" s="8">
        <v>44437</v>
      </c>
      <c r="C594" s="2" t="s">
        <v>3835</v>
      </c>
      <c r="D594" t="s">
        <v>6175</v>
      </c>
      <c r="E594" s="2">
        <v>2</v>
      </c>
      <c r="F594" s="2" t="str">
        <f>_xlfn.XLOOKUP(orders!C594,customers!$A$1:$A$1001,customers!$B$1:$B$1001,,0)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9">
        <f>INDEX(products!$A$1:$G$49,MATCH(orders!$D594,products!$A$1:$A$49,0),MATCH(orders!K$1,products!$A$1:$G$1,0))</f>
        <v>2.5</v>
      </c>
      <c r="L594" s="10">
        <f>INDEX(products!$A$1:$G$49,MATCH(orders!$D594,products!$A$1:$A$49,0),MATCH(orders!L$1,products!$A$1:$G$1,0))</f>
        <v>25.874999999999996</v>
      </c>
      <c r="M594" s="10">
        <f t="shared" si="27"/>
        <v>51.749999999999993</v>
      </c>
      <c r="N594" t="str">
        <f t="shared" si="28"/>
        <v>Arabica</v>
      </c>
      <c r="O594" t="str">
        <f t="shared" si="29"/>
        <v>Medium</v>
      </c>
      <c r="P594" t="str">
        <f>_xlfn.XLOOKUP(Table1[[#This Row],[Customer ID]],customers!$A$1:$A$1001,customers!$I$1:$I$1001,,0)</f>
        <v>No</v>
      </c>
    </row>
    <row r="595" spans="1:16" x14ac:dyDescent="0.25">
      <c r="A595" s="2" t="s">
        <v>3839</v>
      </c>
      <c r="B595" s="8">
        <v>43903</v>
      </c>
      <c r="C595" s="2" t="s">
        <v>3840</v>
      </c>
      <c r="D595" t="s">
        <v>6185</v>
      </c>
      <c r="E595" s="2">
        <v>1</v>
      </c>
      <c r="F595" s="2" t="str">
        <f>_xlfn.XLOOKUP(orders!C595,customers!$A$1:$A$1001,customers!$B$1:$B$1001,,0)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9">
        <f>INDEX(products!$A$1:$G$49,MATCH(orders!$D595,products!$A$1:$A$49,0),MATCH(orders!K$1,products!$A$1:$G$1,0))</f>
        <v>2.5</v>
      </c>
      <c r="L595" s="10">
        <f>INDEX(products!$A$1:$G$49,MATCH(orders!$D595,products!$A$1:$A$49,0),MATCH(orders!L$1,products!$A$1:$G$1,0))</f>
        <v>27.945</v>
      </c>
      <c r="M595" s="10">
        <f t="shared" si="27"/>
        <v>27.945</v>
      </c>
      <c r="N595" t="str">
        <f t="shared" si="28"/>
        <v>Excelsa</v>
      </c>
      <c r="O595" t="str">
        <f t="shared" si="29"/>
        <v>Dark</v>
      </c>
      <c r="P595" t="str">
        <f>_xlfn.XLOOKUP(Table1[[#This Row],[Customer ID]],customers!$A$1:$A$1001,customers!$I$1:$I$1001,,0)</f>
        <v>Yes</v>
      </c>
    </row>
    <row r="596" spans="1:16" x14ac:dyDescent="0.25">
      <c r="A596" s="2" t="s">
        <v>3844</v>
      </c>
      <c r="B596" s="8">
        <v>43512</v>
      </c>
      <c r="C596" s="2" t="s">
        <v>3845</v>
      </c>
      <c r="D596" t="s">
        <v>6182</v>
      </c>
      <c r="E596" s="2">
        <v>2</v>
      </c>
      <c r="F596" s="2" t="str">
        <f>_xlfn.XLOOKUP(orders!C596,customers!$A$1:$A$1001,customers!$B$1:$B$1001,,0)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9">
        <f>INDEX(products!$A$1:$G$49,MATCH(orders!$D596,products!$A$1:$A$49,0),MATCH(orders!K$1,products!$A$1:$G$1,0))</f>
        <v>2.5</v>
      </c>
      <c r="L596" s="10">
        <f>INDEX(products!$A$1:$G$49,MATCH(orders!$D596,products!$A$1:$A$49,0),MATCH(orders!L$1,products!$A$1:$G$1,0))</f>
        <v>29.784999999999997</v>
      </c>
      <c r="M596" s="10">
        <f t="shared" si="27"/>
        <v>59.569999999999993</v>
      </c>
      <c r="N596" t="str">
        <f t="shared" si="28"/>
        <v>Arabica</v>
      </c>
      <c r="O596" t="str">
        <f t="shared" si="29"/>
        <v>Light</v>
      </c>
      <c r="P596" t="str">
        <f>_xlfn.XLOOKUP(Table1[[#This Row],[Customer ID]],customers!$A$1:$A$1001,customers!$I$1:$I$1001,,0)</f>
        <v>No</v>
      </c>
    </row>
    <row r="597" spans="1:16" x14ac:dyDescent="0.25">
      <c r="A597" s="2" t="s">
        <v>3850</v>
      </c>
      <c r="B597" s="8">
        <v>44527</v>
      </c>
      <c r="C597" s="2" t="s">
        <v>3851</v>
      </c>
      <c r="D597" t="s">
        <v>6171</v>
      </c>
      <c r="E597" s="2">
        <v>1</v>
      </c>
      <c r="F597" s="2" t="str">
        <f>_xlfn.XLOOKUP(orders!C597,customers!$A$1:$A$1001,customers!$B$1:$B$1001,,0)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9">
        <f>INDEX(products!$A$1:$G$49,MATCH(orders!$D597,products!$A$1:$A$49,0),MATCH(orders!K$1,products!$A$1:$G$1,0))</f>
        <v>1</v>
      </c>
      <c r="L597" s="10">
        <f>INDEX(products!$A$1:$G$49,MATCH(orders!$D597,products!$A$1:$A$49,0),MATCH(orders!L$1,products!$A$1:$G$1,0))</f>
        <v>14.85</v>
      </c>
      <c r="M597" s="10">
        <f t="shared" si="27"/>
        <v>14.85</v>
      </c>
      <c r="N597" t="str">
        <f t="shared" si="28"/>
        <v>Excelsa</v>
      </c>
      <c r="O597" t="str">
        <f t="shared" si="29"/>
        <v>Light</v>
      </c>
      <c r="P597" t="str">
        <f>_xlfn.XLOOKUP(Table1[[#This Row],[Customer ID]],customers!$A$1:$A$1001,customers!$I$1:$I$1001,,0)</f>
        <v>No</v>
      </c>
    </row>
    <row r="598" spans="1:16" x14ac:dyDescent="0.25">
      <c r="A598" s="2" t="s">
        <v>3854</v>
      </c>
      <c r="B598" s="8">
        <v>44523</v>
      </c>
      <c r="C598" s="2" t="s">
        <v>3855</v>
      </c>
      <c r="D598" t="s">
        <v>6157</v>
      </c>
      <c r="E598" s="2">
        <v>5</v>
      </c>
      <c r="F598" s="2" t="str">
        <f>_xlfn.XLOOKUP(orders!C598,customers!$A$1:$A$1001,customers!$B$1:$B$1001,,0)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9">
        <f>INDEX(products!$A$1:$G$49,MATCH(orders!$D598,products!$A$1:$A$49,0),MATCH(orders!K$1,products!$A$1:$G$1,0))</f>
        <v>0.5</v>
      </c>
      <c r="L598" s="10">
        <f>INDEX(products!$A$1:$G$49,MATCH(orders!$D598,products!$A$1:$A$49,0),MATCH(orders!L$1,products!$A$1:$G$1,0))</f>
        <v>6.75</v>
      </c>
      <c r="M598" s="10">
        <f t="shared" si="27"/>
        <v>33.75</v>
      </c>
      <c r="N598" t="str">
        <f t="shared" si="28"/>
        <v>Arabica</v>
      </c>
      <c r="O598" t="str">
        <f t="shared" si="29"/>
        <v>Medium</v>
      </c>
      <c r="P598" t="str">
        <f>_xlfn.XLOOKUP(Table1[[#This Row],[Customer ID]],customers!$A$1:$A$1001,customers!$I$1:$I$1001,,0)</f>
        <v>No</v>
      </c>
    </row>
    <row r="599" spans="1:16" x14ac:dyDescent="0.25">
      <c r="A599" s="2" t="s">
        <v>3860</v>
      </c>
      <c r="B599" s="8">
        <v>44532</v>
      </c>
      <c r="C599" s="2" t="s">
        <v>3861</v>
      </c>
      <c r="D599" t="s">
        <v>6164</v>
      </c>
      <c r="E599" s="2">
        <v>4</v>
      </c>
      <c r="F599" s="2" t="str">
        <f>_xlfn.XLOOKUP(orders!C599,customers!$A$1:$A$1001,customers!$B$1:$B$1001,,0)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9">
        <f>INDEX(products!$A$1:$G$49,MATCH(orders!$D599,products!$A$1:$A$49,0),MATCH(orders!K$1,products!$A$1:$G$1,0))</f>
        <v>2.5</v>
      </c>
      <c r="L599" s="10">
        <f>INDEX(products!$A$1:$G$49,MATCH(orders!$D599,products!$A$1:$A$49,0),MATCH(orders!L$1,products!$A$1:$G$1,0))</f>
        <v>36.454999999999998</v>
      </c>
      <c r="M599" s="10">
        <f t="shared" si="27"/>
        <v>145.82</v>
      </c>
      <c r="N599" t="str">
        <f t="shared" si="28"/>
        <v>Liberica</v>
      </c>
      <c r="O599" t="str">
        <f t="shared" si="29"/>
        <v>Light</v>
      </c>
      <c r="P599" t="str">
        <f>_xlfn.XLOOKUP(Table1[[#This Row],[Customer ID]],customers!$A$1:$A$1001,customers!$I$1:$I$1001,,0)</f>
        <v>Yes</v>
      </c>
    </row>
    <row r="600" spans="1:16" x14ac:dyDescent="0.25">
      <c r="A600" s="2" t="s">
        <v>3866</v>
      </c>
      <c r="B600" s="8">
        <v>43471</v>
      </c>
      <c r="C600" s="2" t="s">
        <v>3867</v>
      </c>
      <c r="D600" t="s">
        <v>6174</v>
      </c>
      <c r="E600" s="2">
        <v>4</v>
      </c>
      <c r="F600" s="2" t="str">
        <f>_xlfn.XLOOKUP(orders!C600,customers!$A$1:$A$1001,customers!$B$1:$B$1001,,0)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9">
        <f>INDEX(products!$A$1:$G$49,MATCH(orders!$D600,products!$A$1:$A$49,0),MATCH(orders!K$1,products!$A$1:$G$1,0))</f>
        <v>0.2</v>
      </c>
      <c r="L600" s="10">
        <f>INDEX(products!$A$1:$G$49,MATCH(orders!$D600,products!$A$1:$A$49,0),MATCH(orders!L$1,products!$A$1:$G$1,0))</f>
        <v>2.9849999999999999</v>
      </c>
      <c r="M600" s="10">
        <f t="shared" si="27"/>
        <v>11.94</v>
      </c>
      <c r="N600" t="str">
        <f t="shared" si="28"/>
        <v>Robusta</v>
      </c>
      <c r="O600" t="str">
        <f t="shared" si="29"/>
        <v>Medium</v>
      </c>
      <c r="P600" t="str">
        <f>_xlfn.XLOOKUP(Table1[[#This Row],[Customer ID]],customers!$A$1:$A$1001,customers!$I$1:$I$1001,,0)</f>
        <v>Yes</v>
      </c>
    </row>
    <row r="601" spans="1:16" x14ac:dyDescent="0.25">
      <c r="A601" s="2" t="s">
        <v>3872</v>
      </c>
      <c r="B601" s="8">
        <v>44321</v>
      </c>
      <c r="C601" s="2" t="s">
        <v>3873</v>
      </c>
      <c r="D601" t="s">
        <v>6154</v>
      </c>
      <c r="E601" s="2">
        <v>4</v>
      </c>
      <c r="F601" s="2" t="str">
        <f>_xlfn.XLOOKUP(orders!C601,customers!$A$1:$A$1001,customers!$B$1:$B$1001,,0)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9">
        <f>INDEX(products!$A$1:$G$49,MATCH(orders!$D601,products!$A$1:$A$49,0),MATCH(orders!K$1,products!$A$1:$G$1,0))</f>
        <v>0.2</v>
      </c>
      <c r="L601" s="10">
        <f>INDEX(products!$A$1:$G$49,MATCH(orders!$D601,products!$A$1:$A$49,0),MATCH(orders!L$1,products!$A$1:$G$1,0))</f>
        <v>2.9849999999999999</v>
      </c>
      <c r="M601" s="10">
        <f t="shared" si="27"/>
        <v>11.94</v>
      </c>
      <c r="N601" t="str">
        <f t="shared" si="28"/>
        <v>Arabica</v>
      </c>
      <c r="O601" t="str">
        <f t="shared" si="29"/>
        <v>Dark</v>
      </c>
      <c r="P601" t="str">
        <f>_xlfn.XLOOKUP(Table1[[#This Row],[Customer ID]],customers!$A$1:$A$1001,customers!$I$1:$I$1001,,0)</f>
        <v>Yes</v>
      </c>
    </row>
    <row r="602" spans="1:16" x14ac:dyDescent="0.25">
      <c r="A602" s="2" t="s">
        <v>3877</v>
      </c>
      <c r="B602" s="8">
        <v>44492</v>
      </c>
      <c r="C602" s="2" t="s">
        <v>3878</v>
      </c>
      <c r="D602" t="s">
        <v>6169</v>
      </c>
      <c r="E602" s="2">
        <v>1</v>
      </c>
      <c r="F602" s="2" t="str">
        <f>_xlfn.XLOOKUP(orders!C602,customers!$A$1:$A$1001,customers!$B$1:$B$1001,,0)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9">
        <f>INDEX(products!$A$1:$G$49,MATCH(orders!$D602,products!$A$1:$A$49,0),MATCH(orders!K$1,products!$A$1:$G$1,0))</f>
        <v>0.5</v>
      </c>
      <c r="L602" s="10">
        <f>INDEX(products!$A$1:$G$49,MATCH(orders!$D602,products!$A$1:$A$49,0),MATCH(orders!L$1,products!$A$1:$G$1,0))</f>
        <v>7.77</v>
      </c>
      <c r="M602" s="10">
        <f t="shared" si="27"/>
        <v>7.77</v>
      </c>
      <c r="N602" t="str">
        <f t="shared" si="28"/>
        <v>Liberica</v>
      </c>
      <c r="O602" t="str">
        <f t="shared" si="29"/>
        <v>Dark</v>
      </c>
      <c r="P602" t="str">
        <f>_xlfn.XLOOKUP(Table1[[#This Row],[Customer ID]],customers!$A$1:$A$1001,customers!$I$1:$I$1001,,0)</f>
        <v>No</v>
      </c>
    </row>
    <row r="603" spans="1:16" x14ac:dyDescent="0.25">
      <c r="A603" s="2" t="s">
        <v>3883</v>
      </c>
      <c r="B603" s="8">
        <v>43815</v>
      </c>
      <c r="C603" s="2" t="s">
        <v>3884</v>
      </c>
      <c r="D603" t="s">
        <v>6142</v>
      </c>
      <c r="E603" s="2">
        <v>4</v>
      </c>
      <c r="F603" s="2" t="str">
        <f>_xlfn.XLOOKUP(orders!C603,customers!$A$1:$A$1001,customers!$B$1:$B$1001,,0)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9">
        <f>INDEX(products!$A$1:$G$49,MATCH(orders!$D603,products!$A$1:$A$49,0),MATCH(orders!K$1,products!$A$1:$G$1,0))</f>
        <v>2.5</v>
      </c>
      <c r="L603" s="10">
        <f>INDEX(products!$A$1:$G$49,MATCH(orders!$D603,products!$A$1:$A$49,0),MATCH(orders!L$1,products!$A$1:$G$1,0))</f>
        <v>27.484999999999996</v>
      </c>
      <c r="M603" s="10">
        <f t="shared" si="27"/>
        <v>109.93999999999998</v>
      </c>
      <c r="N603" t="str">
        <f t="shared" si="28"/>
        <v>Robusta</v>
      </c>
      <c r="O603" t="str">
        <f t="shared" si="29"/>
        <v>Light</v>
      </c>
      <c r="P603" t="str">
        <f>_xlfn.XLOOKUP(Table1[[#This Row],[Customer ID]],customers!$A$1:$A$1001,customers!$I$1:$I$1001,,0)</f>
        <v>Yes</v>
      </c>
    </row>
    <row r="604" spans="1:16" x14ac:dyDescent="0.25">
      <c r="A604" s="2" t="s">
        <v>3889</v>
      </c>
      <c r="B604" s="8">
        <v>43603</v>
      </c>
      <c r="C604" s="2" t="s">
        <v>3890</v>
      </c>
      <c r="D604" t="s">
        <v>6184</v>
      </c>
      <c r="E604" s="2">
        <v>5</v>
      </c>
      <c r="F604" s="2" t="str">
        <f>_xlfn.XLOOKUP(orders!C604,customers!$A$1:$A$1001,customers!$B$1:$B$1001,,0)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9">
        <f>INDEX(products!$A$1:$G$49,MATCH(orders!$D604,products!$A$1:$A$49,0),MATCH(orders!K$1,products!$A$1:$G$1,0))</f>
        <v>0.2</v>
      </c>
      <c r="L604" s="10">
        <f>INDEX(products!$A$1:$G$49,MATCH(orders!$D604,products!$A$1:$A$49,0),MATCH(orders!L$1,products!$A$1:$G$1,0))</f>
        <v>4.4550000000000001</v>
      </c>
      <c r="M604" s="10">
        <f t="shared" si="27"/>
        <v>22.274999999999999</v>
      </c>
      <c r="N604" t="str">
        <f t="shared" si="28"/>
        <v>Excelsa</v>
      </c>
      <c r="O604" t="str">
        <f t="shared" si="29"/>
        <v>Light</v>
      </c>
      <c r="P604" t="str">
        <f>_xlfn.XLOOKUP(Table1[[#This Row],[Customer ID]],customers!$A$1:$A$1001,customers!$I$1:$I$1001,,0)</f>
        <v>Yes</v>
      </c>
    </row>
    <row r="605" spans="1:16" x14ac:dyDescent="0.25">
      <c r="A605" s="2" t="s">
        <v>3895</v>
      </c>
      <c r="B605" s="8">
        <v>43660</v>
      </c>
      <c r="C605" s="2" t="s">
        <v>3896</v>
      </c>
      <c r="D605" t="s">
        <v>6174</v>
      </c>
      <c r="E605" s="2">
        <v>3</v>
      </c>
      <c r="F605" s="2" t="str">
        <f>_xlfn.XLOOKUP(orders!C605,customers!$A$1:$A$1001,customers!$B$1:$B$1001,,0)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9">
        <f>INDEX(products!$A$1:$G$49,MATCH(orders!$D605,products!$A$1:$A$49,0),MATCH(orders!K$1,products!$A$1:$G$1,0))</f>
        <v>0.2</v>
      </c>
      <c r="L605" s="10">
        <f>INDEX(products!$A$1:$G$49,MATCH(orders!$D605,products!$A$1:$A$49,0),MATCH(orders!L$1,products!$A$1:$G$1,0))</f>
        <v>2.9849999999999999</v>
      </c>
      <c r="M605" s="10">
        <f t="shared" si="27"/>
        <v>8.9550000000000001</v>
      </c>
      <c r="N605" t="str">
        <f t="shared" si="28"/>
        <v>Robusta</v>
      </c>
      <c r="O605" t="str">
        <f t="shared" si="29"/>
        <v>Medium</v>
      </c>
      <c r="P605" t="str">
        <f>_xlfn.XLOOKUP(Table1[[#This Row],[Customer ID]],customers!$A$1:$A$1001,customers!$I$1:$I$1001,,0)</f>
        <v>No</v>
      </c>
    </row>
    <row r="606" spans="1:16" x14ac:dyDescent="0.25">
      <c r="A606" s="2" t="s">
        <v>3900</v>
      </c>
      <c r="B606" s="8">
        <v>44148</v>
      </c>
      <c r="C606" s="2" t="s">
        <v>3901</v>
      </c>
      <c r="D606" t="s">
        <v>6165</v>
      </c>
      <c r="E606" s="2">
        <v>4</v>
      </c>
      <c r="F606" s="2" t="str">
        <f>_xlfn.XLOOKUP(orders!C606,customers!$A$1:$A$1001,customers!$B$1:$B$1001,,0)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9">
        <f>INDEX(products!$A$1:$G$49,MATCH(orders!$D606,products!$A$1:$A$49,0),MATCH(orders!K$1,products!$A$1:$G$1,0))</f>
        <v>2.5</v>
      </c>
      <c r="L606" s="10">
        <f>INDEX(products!$A$1:$G$49,MATCH(orders!$D606,products!$A$1:$A$49,0),MATCH(orders!L$1,products!$A$1:$G$1,0))</f>
        <v>29.784999999999997</v>
      </c>
      <c r="M606" s="10">
        <f t="shared" si="27"/>
        <v>119.13999999999999</v>
      </c>
      <c r="N606" t="str">
        <f t="shared" si="28"/>
        <v>Liberica</v>
      </c>
      <c r="O606" t="str">
        <f t="shared" si="29"/>
        <v>Dark</v>
      </c>
      <c r="P606" t="str">
        <f>_xlfn.XLOOKUP(Table1[[#This Row],[Customer ID]],customers!$A$1:$A$1001,customers!$I$1:$I$1001,,0)</f>
        <v>No</v>
      </c>
    </row>
    <row r="607" spans="1:16" x14ac:dyDescent="0.25">
      <c r="A607" s="2" t="s">
        <v>3905</v>
      </c>
      <c r="B607" s="8">
        <v>44028</v>
      </c>
      <c r="C607" s="2" t="s">
        <v>3906</v>
      </c>
      <c r="D607" t="s">
        <v>6182</v>
      </c>
      <c r="E607" s="2">
        <v>5</v>
      </c>
      <c r="F607" s="2" t="str">
        <f>_xlfn.XLOOKUP(orders!C607,customers!$A$1:$A$1001,customers!$B$1:$B$1001,,0)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9">
        <f>INDEX(products!$A$1:$G$49,MATCH(orders!$D607,products!$A$1:$A$49,0),MATCH(orders!K$1,products!$A$1:$G$1,0))</f>
        <v>2.5</v>
      </c>
      <c r="L607" s="10">
        <f>INDEX(products!$A$1:$G$49,MATCH(orders!$D607,products!$A$1:$A$49,0),MATCH(orders!L$1,products!$A$1:$G$1,0))</f>
        <v>29.784999999999997</v>
      </c>
      <c r="M607" s="10">
        <f t="shared" si="27"/>
        <v>148.92499999999998</v>
      </c>
      <c r="N607" t="str">
        <f t="shared" si="28"/>
        <v>Arabica</v>
      </c>
      <c r="O607" t="str">
        <f t="shared" si="29"/>
        <v>Light</v>
      </c>
      <c r="P607" t="str">
        <f>_xlfn.XLOOKUP(Table1[[#This Row],[Customer ID]],customers!$A$1:$A$1001,customers!$I$1:$I$1001,,0)</f>
        <v>Yes</v>
      </c>
    </row>
    <row r="608" spans="1:16" x14ac:dyDescent="0.25">
      <c r="A608" s="2" t="s">
        <v>3911</v>
      </c>
      <c r="B608" s="8">
        <v>44138</v>
      </c>
      <c r="C608" s="2" t="s">
        <v>3840</v>
      </c>
      <c r="D608" t="s">
        <v>6164</v>
      </c>
      <c r="E608" s="2">
        <v>3</v>
      </c>
      <c r="F608" s="2" t="str">
        <f>_xlfn.XLOOKUP(orders!C608,customers!$A$1:$A$1001,customers!$B$1:$B$1001,,0)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9">
        <f>INDEX(products!$A$1:$G$49,MATCH(orders!$D608,products!$A$1:$A$49,0),MATCH(orders!K$1,products!$A$1:$G$1,0))</f>
        <v>2.5</v>
      </c>
      <c r="L608" s="10">
        <f>INDEX(products!$A$1:$G$49,MATCH(orders!$D608,products!$A$1:$A$49,0),MATCH(orders!L$1,products!$A$1:$G$1,0))</f>
        <v>36.454999999999998</v>
      </c>
      <c r="M608" s="10">
        <f t="shared" si="27"/>
        <v>109.36499999999999</v>
      </c>
      <c r="N608" t="str">
        <f t="shared" si="28"/>
        <v>Liberica</v>
      </c>
      <c r="O608" t="str">
        <f t="shared" si="29"/>
        <v>Light</v>
      </c>
      <c r="P608" t="str">
        <f>_xlfn.XLOOKUP(Table1[[#This Row],[Customer ID]],customers!$A$1:$A$1001,customers!$I$1:$I$1001,,0)</f>
        <v>Yes</v>
      </c>
    </row>
    <row r="609" spans="1:16" x14ac:dyDescent="0.25">
      <c r="A609" s="2" t="s">
        <v>3917</v>
      </c>
      <c r="B609" s="8">
        <v>44640</v>
      </c>
      <c r="C609" s="2" t="s">
        <v>3918</v>
      </c>
      <c r="D609" t="s">
        <v>6153</v>
      </c>
      <c r="E609" s="2">
        <v>1</v>
      </c>
      <c r="F609" s="2" t="str">
        <f>_xlfn.XLOOKUP(orders!C609,customers!$A$1:$A$1001,customers!$B$1:$B$1001,,0)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9">
        <f>INDEX(products!$A$1:$G$49,MATCH(orders!$D609,products!$A$1:$A$49,0),MATCH(orders!K$1,products!$A$1:$G$1,0))</f>
        <v>0.2</v>
      </c>
      <c r="L609" s="10">
        <f>INDEX(products!$A$1:$G$49,MATCH(orders!$D609,products!$A$1:$A$49,0),MATCH(orders!L$1,products!$A$1:$G$1,0))</f>
        <v>3.645</v>
      </c>
      <c r="M609" s="10">
        <f t="shared" si="27"/>
        <v>3.645</v>
      </c>
      <c r="N609" t="str">
        <f t="shared" si="28"/>
        <v>Excelsa</v>
      </c>
      <c r="O609" t="str">
        <f t="shared" si="29"/>
        <v>Dark</v>
      </c>
      <c r="P609" t="str">
        <f>_xlfn.XLOOKUP(Table1[[#This Row],[Customer ID]],customers!$A$1:$A$1001,customers!$I$1:$I$1001,,0)</f>
        <v>Yes</v>
      </c>
    </row>
    <row r="610" spans="1:16" x14ac:dyDescent="0.25">
      <c r="A610" s="2" t="s">
        <v>3923</v>
      </c>
      <c r="B610" s="8">
        <v>44608</v>
      </c>
      <c r="C610" s="2" t="s">
        <v>3924</v>
      </c>
      <c r="D610" t="s">
        <v>6185</v>
      </c>
      <c r="E610" s="2">
        <v>2</v>
      </c>
      <c r="F610" s="2" t="str">
        <f>_xlfn.XLOOKUP(orders!C610,customers!$A$1:$A$1001,customers!$B$1:$B$1001,,0)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9">
        <f>INDEX(products!$A$1:$G$49,MATCH(orders!$D610,products!$A$1:$A$49,0),MATCH(orders!K$1,products!$A$1:$G$1,0))</f>
        <v>2.5</v>
      </c>
      <c r="L610" s="10">
        <f>INDEX(products!$A$1:$G$49,MATCH(orders!$D610,products!$A$1:$A$49,0),MATCH(orders!L$1,products!$A$1:$G$1,0))</f>
        <v>27.945</v>
      </c>
      <c r="M610" s="10">
        <f t="shared" si="27"/>
        <v>55.89</v>
      </c>
      <c r="N610" t="str">
        <f t="shared" si="28"/>
        <v>Excelsa</v>
      </c>
      <c r="O610" t="str">
        <f t="shared" si="29"/>
        <v>Dark</v>
      </c>
      <c r="P610" t="str">
        <f>_xlfn.XLOOKUP(Table1[[#This Row],[Customer ID]],customers!$A$1:$A$1001,customers!$I$1:$I$1001,,0)</f>
        <v>No</v>
      </c>
    </row>
    <row r="611" spans="1:16" x14ac:dyDescent="0.25">
      <c r="A611" s="2" t="s">
        <v>3927</v>
      </c>
      <c r="B611" s="8">
        <v>44147</v>
      </c>
      <c r="C611" s="2" t="s">
        <v>3928</v>
      </c>
      <c r="D611" t="s">
        <v>6159</v>
      </c>
      <c r="E611" s="2">
        <v>6</v>
      </c>
      <c r="F611" s="2" t="str">
        <f>_xlfn.XLOOKUP(orders!C611,customers!$A$1:$A$1001,customers!$B$1:$B$1001,,0)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9">
        <f>INDEX(products!$A$1:$G$49,MATCH(orders!$D611,products!$A$1:$A$49,0),MATCH(orders!K$1,products!$A$1:$G$1,0))</f>
        <v>0.2</v>
      </c>
      <c r="L611" s="10">
        <f>INDEX(products!$A$1:$G$49,MATCH(orders!$D611,products!$A$1:$A$49,0),MATCH(orders!L$1,products!$A$1:$G$1,0))</f>
        <v>4.3650000000000002</v>
      </c>
      <c r="M611" s="10">
        <f t="shared" si="27"/>
        <v>26.19</v>
      </c>
      <c r="N611" t="str">
        <f t="shared" si="28"/>
        <v>Liberica</v>
      </c>
      <c r="O611" t="str">
        <f t="shared" si="29"/>
        <v>Medium</v>
      </c>
      <c r="P611" t="str">
        <f>_xlfn.XLOOKUP(Table1[[#This Row],[Customer ID]],customers!$A$1:$A$1001,customers!$I$1:$I$1001,,0)</f>
        <v>Yes</v>
      </c>
    </row>
    <row r="612" spans="1:16" x14ac:dyDescent="0.25">
      <c r="A612" s="2" t="s">
        <v>3933</v>
      </c>
      <c r="B612" s="8">
        <v>43743</v>
      </c>
      <c r="C612" s="2" t="s">
        <v>3934</v>
      </c>
      <c r="D612" t="s">
        <v>6138</v>
      </c>
      <c r="E612" s="2">
        <v>4</v>
      </c>
      <c r="F612" s="2" t="str">
        <f>_xlfn.XLOOKUP(orders!C612,customers!$A$1:$A$1001,customers!$B$1:$B$1001,,0)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9">
        <f>INDEX(products!$A$1:$G$49,MATCH(orders!$D612,products!$A$1:$A$49,0),MATCH(orders!K$1,products!$A$1:$G$1,0))</f>
        <v>1</v>
      </c>
      <c r="L612" s="10">
        <f>INDEX(products!$A$1:$G$49,MATCH(orders!$D612,products!$A$1:$A$49,0),MATCH(orders!L$1,products!$A$1:$G$1,0))</f>
        <v>9.9499999999999993</v>
      </c>
      <c r="M612" s="10">
        <f t="shared" si="27"/>
        <v>39.799999999999997</v>
      </c>
      <c r="N612" t="str">
        <f t="shared" si="28"/>
        <v>Robusta</v>
      </c>
      <c r="O612" t="str">
        <f t="shared" si="29"/>
        <v>Medium</v>
      </c>
      <c r="P612" t="str">
        <f>_xlfn.XLOOKUP(Table1[[#This Row],[Customer ID]],customers!$A$1:$A$1001,customers!$I$1:$I$1001,,0)</f>
        <v>No</v>
      </c>
    </row>
    <row r="613" spans="1:16" x14ac:dyDescent="0.25">
      <c r="A613" s="2" t="s">
        <v>3939</v>
      </c>
      <c r="B613" s="8">
        <v>43739</v>
      </c>
      <c r="C613" s="2" t="s">
        <v>3940</v>
      </c>
      <c r="D613" t="s">
        <v>6148</v>
      </c>
      <c r="E613" s="2">
        <v>2</v>
      </c>
      <c r="F613" s="2" t="str">
        <f>_xlfn.XLOOKUP(orders!C613,customers!$A$1:$A$1001,customers!$B$1:$B$1001,,0)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9">
        <f>INDEX(products!$A$1:$G$49,MATCH(orders!$D613,products!$A$1:$A$49,0),MATCH(orders!K$1,products!$A$1:$G$1,0))</f>
        <v>2.5</v>
      </c>
      <c r="L613" s="10">
        <f>INDEX(products!$A$1:$G$49,MATCH(orders!$D613,products!$A$1:$A$49,0),MATCH(orders!L$1,products!$A$1:$G$1,0))</f>
        <v>34.154999999999994</v>
      </c>
      <c r="M613" s="10">
        <f t="shared" si="27"/>
        <v>68.309999999999988</v>
      </c>
      <c r="N613" t="str">
        <f t="shared" si="28"/>
        <v>Excelsa</v>
      </c>
      <c r="O613" t="str">
        <f t="shared" si="29"/>
        <v>Light</v>
      </c>
      <c r="P613" t="str">
        <f>_xlfn.XLOOKUP(Table1[[#This Row],[Customer ID]],customers!$A$1:$A$1001,customers!$I$1:$I$1001,,0)</f>
        <v>No</v>
      </c>
    </row>
    <row r="614" spans="1:16" x14ac:dyDescent="0.25">
      <c r="A614" s="2" t="s">
        <v>3945</v>
      </c>
      <c r="B614" s="8">
        <v>43896</v>
      </c>
      <c r="C614" s="2" t="s">
        <v>3946</v>
      </c>
      <c r="D614" t="s">
        <v>6152</v>
      </c>
      <c r="E614" s="2">
        <v>4</v>
      </c>
      <c r="F614" s="2" t="str">
        <f>_xlfn.XLOOKUP(orders!C614,customers!$A$1:$A$1001,customers!$B$1:$B$1001,,0)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9">
        <f>INDEX(products!$A$1:$G$49,MATCH(orders!$D614,products!$A$1:$A$49,0),MATCH(orders!K$1,products!$A$1:$G$1,0))</f>
        <v>0.2</v>
      </c>
      <c r="L614" s="10">
        <f>INDEX(products!$A$1:$G$49,MATCH(orders!$D614,products!$A$1:$A$49,0),MATCH(orders!L$1,products!$A$1:$G$1,0))</f>
        <v>3.375</v>
      </c>
      <c r="M614" s="10">
        <f t="shared" si="27"/>
        <v>13.5</v>
      </c>
      <c r="N614" t="str">
        <f t="shared" si="28"/>
        <v>Arabica</v>
      </c>
      <c r="O614" t="str">
        <f t="shared" si="29"/>
        <v>Medium</v>
      </c>
      <c r="P614" t="str">
        <f>_xlfn.XLOOKUP(Table1[[#This Row],[Customer ID]],customers!$A$1:$A$1001,customers!$I$1:$I$1001,,0)</f>
        <v>No</v>
      </c>
    </row>
    <row r="615" spans="1:16" x14ac:dyDescent="0.25">
      <c r="A615" s="2" t="s">
        <v>3950</v>
      </c>
      <c r="B615" s="8">
        <v>43761</v>
      </c>
      <c r="C615" s="2" t="s">
        <v>3951</v>
      </c>
      <c r="D615" t="s">
        <v>6146</v>
      </c>
      <c r="E615" s="2">
        <v>1</v>
      </c>
      <c r="F615" s="2" t="str">
        <f>_xlfn.XLOOKUP(orders!C615,customers!$A$1:$A$1001,customers!$B$1:$B$1001,,0)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9">
        <f>INDEX(products!$A$1:$G$49,MATCH(orders!$D615,products!$A$1:$A$49,0),MATCH(orders!K$1,products!$A$1:$G$1,0))</f>
        <v>0.5</v>
      </c>
      <c r="L615" s="10">
        <f>INDEX(products!$A$1:$G$49,MATCH(orders!$D615,products!$A$1:$A$49,0),MATCH(orders!L$1,products!$A$1:$G$1,0))</f>
        <v>5.97</v>
      </c>
      <c r="M615" s="10">
        <f t="shared" si="27"/>
        <v>5.97</v>
      </c>
      <c r="N615" t="str">
        <f t="shared" si="28"/>
        <v>Robusta</v>
      </c>
      <c r="O615" t="str">
        <f t="shared" si="29"/>
        <v>Medium</v>
      </c>
      <c r="P615" t="str">
        <f>_xlfn.XLOOKUP(Table1[[#This Row],[Customer ID]],customers!$A$1:$A$1001,customers!$I$1:$I$1001,,0)</f>
        <v>No</v>
      </c>
    </row>
    <row r="616" spans="1:16" x14ac:dyDescent="0.25">
      <c r="A616" s="2" t="s">
        <v>3955</v>
      </c>
      <c r="B616" s="8">
        <v>43944</v>
      </c>
      <c r="C616" s="2" t="s">
        <v>3840</v>
      </c>
      <c r="D616" t="s">
        <v>6146</v>
      </c>
      <c r="E616" s="2">
        <v>5</v>
      </c>
      <c r="F616" s="2" t="str">
        <f>_xlfn.XLOOKUP(orders!C616,customers!$A$1:$A$1001,customers!$B$1:$B$1001,,0)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9">
        <f>INDEX(products!$A$1:$G$49,MATCH(orders!$D616,products!$A$1:$A$49,0),MATCH(orders!K$1,products!$A$1:$G$1,0))</f>
        <v>0.5</v>
      </c>
      <c r="L616" s="10">
        <f>INDEX(products!$A$1:$G$49,MATCH(orders!$D616,products!$A$1:$A$49,0),MATCH(orders!L$1,products!$A$1:$G$1,0))</f>
        <v>5.97</v>
      </c>
      <c r="M616" s="10">
        <f t="shared" si="27"/>
        <v>29.849999999999998</v>
      </c>
      <c r="N616" t="str">
        <f t="shared" si="28"/>
        <v>Robusta</v>
      </c>
      <c r="O616" t="str">
        <f t="shared" si="29"/>
        <v>Medium</v>
      </c>
      <c r="P616" t="str">
        <f>_xlfn.XLOOKUP(Table1[[#This Row],[Customer ID]],customers!$A$1:$A$1001,customers!$I$1:$I$1001,,0)</f>
        <v>Yes</v>
      </c>
    </row>
    <row r="617" spans="1:16" x14ac:dyDescent="0.25">
      <c r="A617" s="2" t="s">
        <v>3960</v>
      </c>
      <c r="B617" s="8">
        <v>44006</v>
      </c>
      <c r="C617" s="2" t="s">
        <v>3961</v>
      </c>
      <c r="D617" t="s">
        <v>6164</v>
      </c>
      <c r="E617" s="2">
        <v>2</v>
      </c>
      <c r="F617" s="2" t="str">
        <f>_xlfn.XLOOKUP(orders!C617,customers!$A$1:$A$1001,customers!$B$1:$B$1001,,0)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9">
        <f>INDEX(products!$A$1:$G$49,MATCH(orders!$D617,products!$A$1:$A$49,0),MATCH(orders!K$1,products!$A$1:$G$1,0))</f>
        <v>2.5</v>
      </c>
      <c r="L617" s="10">
        <f>INDEX(products!$A$1:$G$49,MATCH(orders!$D617,products!$A$1:$A$49,0),MATCH(orders!L$1,products!$A$1:$G$1,0))</f>
        <v>36.454999999999998</v>
      </c>
      <c r="M617" s="10">
        <f t="shared" si="27"/>
        <v>72.91</v>
      </c>
      <c r="N617" t="str">
        <f t="shared" si="28"/>
        <v>Liberica</v>
      </c>
      <c r="O617" t="str">
        <f t="shared" si="29"/>
        <v>Light</v>
      </c>
      <c r="P617" t="str">
        <f>_xlfn.XLOOKUP(Table1[[#This Row],[Customer ID]],customers!$A$1:$A$1001,customers!$I$1:$I$1001,,0)</f>
        <v>Yes</v>
      </c>
    </row>
    <row r="618" spans="1:16" x14ac:dyDescent="0.25">
      <c r="A618" s="2" t="s">
        <v>3966</v>
      </c>
      <c r="B618" s="8">
        <v>44271</v>
      </c>
      <c r="C618" s="2" t="s">
        <v>3967</v>
      </c>
      <c r="D618" t="s">
        <v>6166</v>
      </c>
      <c r="E618" s="2">
        <v>4</v>
      </c>
      <c r="F618" s="2" t="str">
        <f>_xlfn.XLOOKUP(orders!C618,customers!$A$1:$A$1001,customers!$B$1:$B$1001,,0)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9">
        <f>INDEX(products!$A$1:$G$49,MATCH(orders!$D618,products!$A$1:$A$49,0),MATCH(orders!K$1,products!$A$1:$G$1,0))</f>
        <v>2.5</v>
      </c>
      <c r="L618" s="10">
        <f>INDEX(products!$A$1:$G$49,MATCH(orders!$D618,products!$A$1:$A$49,0),MATCH(orders!L$1,products!$A$1:$G$1,0))</f>
        <v>31.624999999999996</v>
      </c>
      <c r="M618" s="10">
        <f t="shared" si="27"/>
        <v>126.49999999999999</v>
      </c>
      <c r="N618" t="str">
        <f t="shared" si="28"/>
        <v>Excelsa</v>
      </c>
      <c r="O618" t="str">
        <f t="shared" si="29"/>
        <v>Medium</v>
      </c>
      <c r="P618" t="str">
        <f>_xlfn.XLOOKUP(Table1[[#This Row],[Customer ID]],customers!$A$1:$A$1001,customers!$I$1:$I$1001,,0)</f>
        <v>No</v>
      </c>
    </row>
    <row r="619" spans="1:16" x14ac:dyDescent="0.25">
      <c r="A619" s="2" t="s">
        <v>3972</v>
      </c>
      <c r="B619" s="8">
        <v>43928</v>
      </c>
      <c r="C619" s="2" t="s">
        <v>3973</v>
      </c>
      <c r="D619" t="s">
        <v>6181</v>
      </c>
      <c r="E619" s="2">
        <v>1</v>
      </c>
      <c r="F619" s="2" t="str">
        <f>_xlfn.XLOOKUP(orders!C619,customers!$A$1:$A$1001,customers!$B$1:$B$1001,,0)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9">
        <f>INDEX(products!$A$1:$G$49,MATCH(orders!$D619,products!$A$1:$A$49,0),MATCH(orders!K$1,products!$A$1:$G$1,0))</f>
        <v>2.5</v>
      </c>
      <c r="L619" s="10">
        <f>INDEX(products!$A$1:$G$49,MATCH(orders!$D619,products!$A$1:$A$49,0),MATCH(orders!L$1,products!$A$1:$G$1,0))</f>
        <v>33.464999999999996</v>
      </c>
      <c r="M619" s="10">
        <f t="shared" si="27"/>
        <v>33.464999999999996</v>
      </c>
      <c r="N619" t="str">
        <f t="shared" si="28"/>
        <v>Liberica</v>
      </c>
      <c r="O619" t="str">
        <f t="shared" si="29"/>
        <v>Medium</v>
      </c>
      <c r="P619" t="str">
        <f>_xlfn.XLOOKUP(Table1[[#This Row],[Customer ID]],customers!$A$1:$A$1001,customers!$I$1:$I$1001,,0)</f>
        <v>No</v>
      </c>
    </row>
    <row r="620" spans="1:16" x14ac:dyDescent="0.25">
      <c r="A620" s="2" t="s">
        <v>3978</v>
      </c>
      <c r="B620" s="8">
        <v>44469</v>
      </c>
      <c r="C620" s="2" t="s">
        <v>3979</v>
      </c>
      <c r="D620" t="s">
        <v>6183</v>
      </c>
      <c r="E620" s="2">
        <v>6</v>
      </c>
      <c r="F620" s="2" t="str">
        <f>_xlfn.XLOOKUP(orders!C620,customers!$A$1:$A$1001,customers!$B$1:$B$1001,,0)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9">
        <f>INDEX(products!$A$1:$G$49,MATCH(orders!$D620,products!$A$1:$A$49,0),MATCH(orders!K$1,products!$A$1:$G$1,0))</f>
        <v>1</v>
      </c>
      <c r="L620" s="10">
        <f>INDEX(products!$A$1:$G$49,MATCH(orders!$D620,products!$A$1:$A$49,0),MATCH(orders!L$1,products!$A$1:$G$1,0))</f>
        <v>12.15</v>
      </c>
      <c r="M620" s="10">
        <f t="shared" si="27"/>
        <v>72.900000000000006</v>
      </c>
      <c r="N620" t="str">
        <f t="shared" si="28"/>
        <v>Excelsa</v>
      </c>
      <c r="O620" t="str">
        <f t="shared" si="29"/>
        <v>Dark</v>
      </c>
      <c r="P620" t="str">
        <f>_xlfn.XLOOKUP(Table1[[#This Row],[Customer ID]],customers!$A$1:$A$1001,customers!$I$1:$I$1001,,0)</f>
        <v>Yes</v>
      </c>
    </row>
    <row r="621" spans="1:16" x14ac:dyDescent="0.25">
      <c r="A621" s="2" t="s">
        <v>3984</v>
      </c>
      <c r="B621" s="8">
        <v>44682</v>
      </c>
      <c r="C621" s="2" t="s">
        <v>3985</v>
      </c>
      <c r="D621" t="s">
        <v>6169</v>
      </c>
      <c r="E621" s="2">
        <v>2</v>
      </c>
      <c r="F621" s="2" t="str">
        <f>_xlfn.XLOOKUP(orders!C621,customers!$A$1:$A$1001,customers!$B$1:$B$1001,,0)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9">
        <f>INDEX(products!$A$1:$G$49,MATCH(orders!$D621,products!$A$1:$A$49,0),MATCH(orders!K$1,products!$A$1:$G$1,0))</f>
        <v>0.5</v>
      </c>
      <c r="L621" s="10">
        <f>INDEX(products!$A$1:$G$49,MATCH(orders!$D621,products!$A$1:$A$49,0),MATCH(orders!L$1,products!$A$1:$G$1,0))</f>
        <v>7.77</v>
      </c>
      <c r="M621" s="10">
        <f t="shared" si="27"/>
        <v>15.54</v>
      </c>
      <c r="N621" t="str">
        <f t="shared" si="28"/>
        <v>Liberica</v>
      </c>
      <c r="O621" t="str">
        <f t="shared" si="29"/>
        <v>Dark</v>
      </c>
      <c r="P621" t="str">
        <f>_xlfn.XLOOKUP(Table1[[#This Row],[Customer ID]],customers!$A$1:$A$1001,customers!$I$1:$I$1001,,0)</f>
        <v>Yes</v>
      </c>
    </row>
    <row r="622" spans="1:16" x14ac:dyDescent="0.25">
      <c r="A622" s="2" t="s">
        <v>3990</v>
      </c>
      <c r="B622" s="8">
        <v>44217</v>
      </c>
      <c r="C622" s="2" t="s">
        <v>4042</v>
      </c>
      <c r="D622" t="s">
        <v>6152</v>
      </c>
      <c r="E622" s="2">
        <v>6</v>
      </c>
      <c r="F622" s="2" t="str">
        <f>_xlfn.XLOOKUP(orders!C622,customers!$A$1:$A$1001,customers!$B$1:$B$1001,,0)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9">
        <f>INDEX(products!$A$1:$G$49,MATCH(orders!$D622,products!$A$1:$A$49,0),MATCH(orders!K$1,products!$A$1:$G$1,0))</f>
        <v>0.2</v>
      </c>
      <c r="L622" s="10">
        <f>INDEX(products!$A$1:$G$49,MATCH(orders!$D622,products!$A$1:$A$49,0),MATCH(orders!L$1,products!$A$1:$G$1,0))</f>
        <v>3.375</v>
      </c>
      <c r="M622" s="10">
        <f t="shared" si="27"/>
        <v>20.25</v>
      </c>
      <c r="N622" t="str">
        <f t="shared" si="28"/>
        <v>Arabica</v>
      </c>
      <c r="O622" t="str">
        <f t="shared" si="29"/>
        <v>Medium</v>
      </c>
      <c r="P622" t="str">
        <f>_xlfn.XLOOKUP(Table1[[#This Row],[Customer ID]],customers!$A$1:$A$1001,customers!$I$1:$I$1001,,0)</f>
        <v>No</v>
      </c>
    </row>
    <row r="623" spans="1:16" x14ac:dyDescent="0.25">
      <c r="A623" s="2" t="s">
        <v>3996</v>
      </c>
      <c r="B623" s="8">
        <v>44006</v>
      </c>
      <c r="C623" s="2" t="s">
        <v>3997</v>
      </c>
      <c r="D623" t="s">
        <v>6140</v>
      </c>
      <c r="E623" s="2">
        <v>6</v>
      </c>
      <c r="F623" s="2" t="str">
        <f>_xlfn.XLOOKUP(orders!C623,customers!$A$1:$A$1001,customers!$B$1:$B$1001,,0)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9">
        <f>INDEX(products!$A$1:$G$49,MATCH(orders!$D623,products!$A$1:$A$49,0),MATCH(orders!K$1,products!$A$1:$G$1,0))</f>
        <v>1</v>
      </c>
      <c r="L623" s="10">
        <f>INDEX(products!$A$1:$G$49,MATCH(orders!$D623,products!$A$1:$A$49,0),MATCH(orders!L$1,products!$A$1:$G$1,0))</f>
        <v>12.95</v>
      </c>
      <c r="M623" s="10">
        <f t="shared" si="27"/>
        <v>77.699999999999989</v>
      </c>
      <c r="N623" t="str">
        <f t="shared" si="28"/>
        <v>Arabica</v>
      </c>
      <c r="O623" t="str">
        <f t="shared" si="29"/>
        <v>Light</v>
      </c>
      <c r="P623" t="str">
        <f>_xlfn.XLOOKUP(Table1[[#This Row],[Customer ID]],customers!$A$1:$A$1001,customers!$I$1:$I$1001,,0)</f>
        <v>No</v>
      </c>
    </row>
    <row r="624" spans="1:16" x14ac:dyDescent="0.25">
      <c r="A624" s="2" t="s">
        <v>4002</v>
      </c>
      <c r="B624" s="8">
        <v>43527</v>
      </c>
      <c r="C624" s="2" t="s">
        <v>4003</v>
      </c>
      <c r="D624" t="s">
        <v>6181</v>
      </c>
      <c r="E624" s="2">
        <v>4</v>
      </c>
      <c r="F624" s="2" t="str">
        <f>_xlfn.XLOOKUP(orders!C624,customers!$A$1:$A$1001,customers!$B$1:$B$1001,,0)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9">
        <f>INDEX(products!$A$1:$G$49,MATCH(orders!$D624,products!$A$1:$A$49,0),MATCH(orders!K$1,products!$A$1:$G$1,0))</f>
        <v>2.5</v>
      </c>
      <c r="L624" s="10">
        <f>INDEX(products!$A$1:$G$49,MATCH(orders!$D624,products!$A$1:$A$49,0),MATCH(orders!L$1,products!$A$1:$G$1,0))</f>
        <v>33.464999999999996</v>
      </c>
      <c r="M624" s="10">
        <f t="shared" si="27"/>
        <v>133.85999999999999</v>
      </c>
      <c r="N624" t="str">
        <f t="shared" si="28"/>
        <v>Liberica</v>
      </c>
      <c r="O624" t="str">
        <f t="shared" si="29"/>
        <v>Medium</v>
      </c>
      <c r="P624" t="str">
        <f>_xlfn.XLOOKUP(Table1[[#This Row],[Customer ID]],customers!$A$1:$A$1001,customers!$I$1:$I$1001,,0)</f>
        <v>No</v>
      </c>
    </row>
    <row r="625" spans="1:16" x14ac:dyDescent="0.25">
      <c r="A625" s="2" t="s">
        <v>4007</v>
      </c>
      <c r="B625" s="8">
        <v>44224</v>
      </c>
      <c r="C625" s="2" t="s">
        <v>4008</v>
      </c>
      <c r="D625" t="s">
        <v>6183</v>
      </c>
      <c r="E625" s="2">
        <v>1</v>
      </c>
      <c r="F625" s="2" t="str">
        <f>_xlfn.XLOOKUP(orders!C625,customers!$A$1:$A$1001,customers!$B$1:$B$1001,,0)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9">
        <f>INDEX(products!$A$1:$G$49,MATCH(orders!$D625,products!$A$1:$A$49,0),MATCH(orders!K$1,products!$A$1:$G$1,0))</f>
        <v>1</v>
      </c>
      <c r="L625" s="10">
        <f>INDEX(products!$A$1:$G$49,MATCH(orders!$D625,products!$A$1:$A$49,0),MATCH(orders!L$1,products!$A$1:$G$1,0))</f>
        <v>12.15</v>
      </c>
      <c r="M625" s="10">
        <f t="shared" si="27"/>
        <v>12.15</v>
      </c>
      <c r="N625" t="str">
        <f t="shared" si="28"/>
        <v>Excelsa</v>
      </c>
      <c r="O625" t="str">
        <f t="shared" si="29"/>
        <v>Dark</v>
      </c>
      <c r="P625" t="str">
        <f>_xlfn.XLOOKUP(Table1[[#This Row],[Customer ID]],customers!$A$1:$A$1001,customers!$I$1:$I$1001,,0)</f>
        <v>No</v>
      </c>
    </row>
    <row r="626" spans="1:16" x14ac:dyDescent="0.25">
      <c r="A626" s="2" t="s">
        <v>4012</v>
      </c>
      <c r="B626" s="8">
        <v>44010</v>
      </c>
      <c r="C626" s="2" t="s">
        <v>4013</v>
      </c>
      <c r="D626" t="s">
        <v>6166</v>
      </c>
      <c r="E626" s="2">
        <v>2</v>
      </c>
      <c r="F626" s="2" t="str">
        <f>_xlfn.XLOOKUP(orders!C626,customers!$A$1:$A$1001,customers!$B$1:$B$1001,,0)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9">
        <f>INDEX(products!$A$1:$G$49,MATCH(orders!$D626,products!$A$1:$A$49,0),MATCH(orders!K$1,products!$A$1:$G$1,0))</f>
        <v>2.5</v>
      </c>
      <c r="L626" s="10">
        <f>INDEX(products!$A$1:$G$49,MATCH(orders!$D626,products!$A$1:$A$49,0),MATCH(orders!L$1,products!$A$1:$G$1,0))</f>
        <v>31.624999999999996</v>
      </c>
      <c r="M626" s="10">
        <f t="shared" si="27"/>
        <v>63.249999999999993</v>
      </c>
      <c r="N626" t="str">
        <f t="shared" si="28"/>
        <v>Excelsa</v>
      </c>
      <c r="O626" t="str">
        <f t="shared" si="29"/>
        <v>Medium</v>
      </c>
      <c r="P626" t="str">
        <f>_xlfn.XLOOKUP(Table1[[#This Row],[Customer ID]],customers!$A$1:$A$1001,customers!$I$1:$I$1001,,0)</f>
        <v>Yes</v>
      </c>
    </row>
    <row r="627" spans="1:16" x14ac:dyDescent="0.25">
      <c r="A627" s="2" t="s">
        <v>4017</v>
      </c>
      <c r="B627" s="8">
        <v>44017</v>
      </c>
      <c r="C627" s="2" t="s">
        <v>4018</v>
      </c>
      <c r="D627" t="s">
        <v>6173</v>
      </c>
      <c r="E627" s="2">
        <v>5</v>
      </c>
      <c r="F627" s="2" t="str">
        <f>_xlfn.XLOOKUP(orders!C627,customers!$A$1:$A$1001,customers!$B$1:$B$1001,,0)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9">
        <f>INDEX(products!$A$1:$G$49,MATCH(orders!$D627,products!$A$1:$A$49,0),MATCH(orders!K$1,products!$A$1:$G$1,0))</f>
        <v>0.5</v>
      </c>
      <c r="L627" s="10">
        <f>INDEX(products!$A$1:$G$49,MATCH(orders!$D627,products!$A$1:$A$49,0),MATCH(orders!L$1,products!$A$1:$G$1,0))</f>
        <v>7.169999999999999</v>
      </c>
      <c r="M627" s="10">
        <f t="shared" si="27"/>
        <v>35.849999999999994</v>
      </c>
      <c r="N627" t="str">
        <f t="shared" si="28"/>
        <v>Robusta</v>
      </c>
      <c r="O627" t="str">
        <f t="shared" si="29"/>
        <v>Light</v>
      </c>
      <c r="P627" t="str">
        <f>_xlfn.XLOOKUP(Table1[[#This Row],[Customer ID]],customers!$A$1:$A$1001,customers!$I$1:$I$1001,,0)</f>
        <v>No</v>
      </c>
    </row>
    <row r="628" spans="1:16" x14ac:dyDescent="0.25">
      <c r="A628" s="2" t="s">
        <v>4023</v>
      </c>
      <c r="B628" s="8">
        <v>43526</v>
      </c>
      <c r="C628" s="2" t="s">
        <v>4024</v>
      </c>
      <c r="D628" t="s">
        <v>6175</v>
      </c>
      <c r="E628" s="2">
        <v>3</v>
      </c>
      <c r="F628" s="2" t="str">
        <f>_xlfn.XLOOKUP(orders!C628,customers!$A$1:$A$1001,customers!$B$1:$B$1001,,0)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9">
        <f>INDEX(products!$A$1:$G$49,MATCH(orders!$D628,products!$A$1:$A$49,0),MATCH(orders!K$1,products!$A$1:$G$1,0))</f>
        <v>2.5</v>
      </c>
      <c r="L628" s="10">
        <f>INDEX(products!$A$1:$G$49,MATCH(orders!$D628,products!$A$1:$A$49,0),MATCH(orders!L$1,products!$A$1:$G$1,0))</f>
        <v>25.874999999999996</v>
      </c>
      <c r="M628" s="10">
        <f t="shared" si="27"/>
        <v>77.624999999999986</v>
      </c>
      <c r="N628" t="str">
        <f t="shared" si="28"/>
        <v>Arabica</v>
      </c>
      <c r="O628" t="str">
        <f t="shared" si="29"/>
        <v>Medium</v>
      </c>
      <c r="P628" t="str">
        <f>_xlfn.XLOOKUP(Table1[[#This Row],[Customer ID]],customers!$A$1:$A$1001,customers!$I$1:$I$1001,,0)</f>
        <v>No</v>
      </c>
    </row>
    <row r="629" spans="1:16" x14ac:dyDescent="0.25">
      <c r="A629" s="2" t="s">
        <v>4029</v>
      </c>
      <c r="B629" s="8">
        <v>44682</v>
      </c>
      <c r="C629" s="2" t="s">
        <v>4030</v>
      </c>
      <c r="D629" t="s">
        <v>6166</v>
      </c>
      <c r="E629" s="2">
        <v>2</v>
      </c>
      <c r="F629" s="2" t="str">
        <f>_xlfn.XLOOKUP(orders!C629,customers!$A$1:$A$1001,customers!$B$1:$B$1001,,0)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9">
        <f>INDEX(products!$A$1:$G$49,MATCH(orders!$D629,products!$A$1:$A$49,0),MATCH(orders!K$1,products!$A$1:$G$1,0))</f>
        <v>2.5</v>
      </c>
      <c r="L629" s="10">
        <f>INDEX(products!$A$1:$G$49,MATCH(orders!$D629,products!$A$1:$A$49,0),MATCH(orders!L$1,products!$A$1:$G$1,0))</f>
        <v>31.624999999999996</v>
      </c>
      <c r="M629" s="10">
        <f t="shared" si="27"/>
        <v>63.249999999999993</v>
      </c>
      <c r="N629" t="str">
        <f t="shared" si="28"/>
        <v>Excelsa</v>
      </c>
      <c r="O629" t="str">
        <f t="shared" si="29"/>
        <v>Medium</v>
      </c>
      <c r="P629" t="str">
        <f>_xlfn.XLOOKUP(Table1[[#This Row],[Customer ID]],customers!$A$1:$A$1001,customers!$I$1:$I$1001,,0)</f>
        <v>Yes</v>
      </c>
    </row>
    <row r="630" spans="1:16" x14ac:dyDescent="0.25">
      <c r="A630" s="2" t="s">
        <v>4035</v>
      </c>
      <c r="B630" s="8">
        <v>44680</v>
      </c>
      <c r="C630" s="2" t="s">
        <v>4036</v>
      </c>
      <c r="D630" t="s">
        <v>6184</v>
      </c>
      <c r="E630" s="2">
        <v>6</v>
      </c>
      <c r="F630" s="2" t="str">
        <f>_xlfn.XLOOKUP(orders!C630,customers!$A$1:$A$1001,customers!$B$1:$B$1001,,0)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9">
        <f>INDEX(products!$A$1:$G$49,MATCH(orders!$D630,products!$A$1:$A$49,0),MATCH(orders!K$1,products!$A$1:$G$1,0))</f>
        <v>0.2</v>
      </c>
      <c r="L630" s="10">
        <f>INDEX(products!$A$1:$G$49,MATCH(orders!$D630,products!$A$1:$A$49,0),MATCH(orders!L$1,products!$A$1:$G$1,0))</f>
        <v>4.4550000000000001</v>
      </c>
      <c r="M630" s="10">
        <f t="shared" si="27"/>
        <v>26.73</v>
      </c>
      <c r="N630" t="str">
        <f t="shared" si="28"/>
        <v>Excelsa</v>
      </c>
      <c r="O630" t="str">
        <f t="shared" si="29"/>
        <v>Light</v>
      </c>
      <c r="P630" t="str">
        <f>_xlfn.XLOOKUP(Table1[[#This Row],[Customer ID]],customers!$A$1:$A$1001,customers!$I$1:$I$1001,,0)</f>
        <v>Yes</v>
      </c>
    </row>
    <row r="631" spans="1:16" x14ac:dyDescent="0.25">
      <c r="A631" s="2" t="s">
        <v>4035</v>
      </c>
      <c r="B631" s="8">
        <v>44680</v>
      </c>
      <c r="C631" s="2" t="s">
        <v>4036</v>
      </c>
      <c r="D631" t="s">
        <v>6169</v>
      </c>
      <c r="E631" s="2">
        <v>4</v>
      </c>
      <c r="F631" s="2" t="str">
        <f>_xlfn.XLOOKUP(orders!C631,customers!$A$1:$A$1001,customers!$B$1:$B$1001,,0)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9">
        <f>INDEX(products!$A$1:$G$49,MATCH(orders!$D631,products!$A$1:$A$49,0),MATCH(orders!K$1,products!$A$1:$G$1,0))</f>
        <v>0.5</v>
      </c>
      <c r="L631" s="10">
        <f>INDEX(products!$A$1:$G$49,MATCH(orders!$D631,products!$A$1:$A$49,0),MATCH(orders!L$1,products!$A$1:$G$1,0))</f>
        <v>7.77</v>
      </c>
      <c r="M631" s="10">
        <f t="shared" si="27"/>
        <v>31.08</v>
      </c>
      <c r="N631" t="str">
        <f t="shared" si="28"/>
        <v>Liberica</v>
      </c>
      <c r="O631" t="str">
        <f t="shared" si="29"/>
        <v>Dark</v>
      </c>
      <c r="P631" t="str">
        <f>_xlfn.XLOOKUP(Table1[[#This Row],[Customer ID]],customers!$A$1:$A$1001,customers!$I$1:$I$1001,,0)</f>
        <v>Yes</v>
      </c>
    </row>
    <row r="632" spans="1:16" x14ac:dyDescent="0.25">
      <c r="A632" s="2" t="s">
        <v>4035</v>
      </c>
      <c r="B632" s="8">
        <v>44680</v>
      </c>
      <c r="C632" s="2" t="s">
        <v>4036</v>
      </c>
      <c r="D632" t="s">
        <v>6154</v>
      </c>
      <c r="E632" s="2">
        <v>1</v>
      </c>
      <c r="F632" s="2" t="str">
        <f>_xlfn.XLOOKUP(orders!C632,customers!$A$1:$A$1001,customers!$B$1:$B$1001,,0)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9">
        <f>INDEX(products!$A$1:$G$49,MATCH(orders!$D632,products!$A$1:$A$49,0),MATCH(orders!K$1,products!$A$1:$G$1,0))</f>
        <v>0.2</v>
      </c>
      <c r="L632" s="10">
        <f>INDEX(products!$A$1:$G$49,MATCH(orders!$D632,products!$A$1:$A$49,0),MATCH(orders!L$1,products!$A$1:$G$1,0))</f>
        <v>2.9849999999999999</v>
      </c>
      <c r="M632" s="10">
        <f t="shared" si="27"/>
        <v>2.9849999999999999</v>
      </c>
      <c r="N632" t="str">
        <f t="shared" si="28"/>
        <v>Arabica</v>
      </c>
      <c r="O632" t="str">
        <f t="shared" si="29"/>
        <v>Dark</v>
      </c>
      <c r="P632" t="str">
        <f>_xlfn.XLOOKUP(Table1[[#This Row],[Customer ID]],customers!$A$1:$A$1001,customers!$I$1:$I$1001,,0)</f>
        <v>Yes</v>
      </c>
    </row>
    <row r="633" spans="1:16" x14ac:dyDescent="0.25">
      <c r="A633" s="2" t="s">
        <v>4035</v>
      </c>
      <c r="B633" s="8">
        <v>44680</v>
      </c>
      <c r="C633" s="2" t="s">
        <v>4036</v>
      </c>
      <c r="D633" t="s">
        <v>6149</v>
      </c>
      <c r="E633" s="2">
        <v>5</v>
      </c>
      <c r="F633" s="2" t="str">
        <f>_xlfn.XLOOKUP(orders!C633,customers!$A$1:$A$1001,customers!$B$1:$B$1001,,0)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9">
        <f>INDEX(products!$A$1:$G$49,MATCH(orders!$D633,products!$A$1:$A$49,0),MATCH(orders!K$1,products!$A$1:$G$1,0))</f>
        <v>2.5</v>
      </c>
      <c r="L633" s="10">
        <f>INDEX(products!$A$1:$G$49,MATCH(orders!$D633,products!$A$1:$A$49,0),MATCH(orders!L$1,products!$A$1:$G$1,0))</f>
        <v>20.584999999999997</v>
      </c>
      <c r="M633" s="10">
        <f t="shared" si="27"/>
        <v>102.92499999999998</v>
      </c>
      <c r="N633" t="str">
        <f t="shared" si="28"/>
        <v>Robusta</v>
      </c>
      <c r="O633" t="str">
        <f t="shared" si="29"/>
        <v>Dark</v>
      </c>
      <c r="P633" t="str">
        <f>_xlfn.XLOOKUP(Table1[[#This Row],[Customer ID]],customers!$A$1:$A$1001,customers!$I$1:$I$1001,,0)</f>
        <v>Yes</v>
      </c>
    </row>
    <row r="634" spans="1:16" x14ac:dyDescent="0.25">
      <c r="A634" s="2" t="s">
        <v>4056</v>
      </c>
      <c r="B634" s="8">
        <v>44049</v>
      </c>
      <c r="C634" s="2" t="s">
        <v>4057</v>
      </c>
      <c r="D634" t="s">
        <v>6176</v>
      </c>
      <c r="E634" s="2">
        <v>4</v>
      </c>
      <c r="F634" s="2" t="str">
        <f>_xlfn.XLOOKUP(orders!C634,customers!$A$1:$A$1001,customers!$B$1:$B$1001,,0)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9">
        <f>INDEX(products!$A$1:$G$49,MATCH(orders!$D634,products!$A$1:$A$49,0),MATCH(orders!K$1,products!$A$1:$G$1,0))</f>
        <v>0.5</v>
      </c>
      <c r="L634" s="10">
        <f>INDEX(products!$A$1:$G$49,MATCH(orders!$D634,products!$A$1:$A$49,0),MATCH(orders!L$1,products!$A$1:$G$1,0))</f>
        <v>8.91</v>
      </c>
      <c r="M634" s="10">
        <f t="shared" si="27"/>
        <v>35.64</v>
      </c>
      <c r="N634" t="str">
        <f t="shared" si="28"/>
        <v>Excelsa</v>
      </c>
      <c r="O634" t="str">
        <f t="shared" si="29"/>
        <v>Light</v>
      </c>
      <c r="P634" t="str">
        <f>_xlfn.XLOOKUP(Table1[[#This Row],[Customer ID]],customers!$A$1:$A$1001,customers!$I$1:$I$1001,,0)</f>
        <v>No</v>
      </c>
    </row>
    <row r="635" spans="1:16" x14ac:dyDescent="0.25">
      <c r="A635" s="2" t="s">
        <v>4062</v>
      </c>
      <c r="B635" s="8">
        <v>43820</v>
      </c>
      <c r="C635" s="2" t="s">
        <v>4063</v>
      </c>
      <c r="D635" t="s">
        <v>6179</v>
      </c>
      <c r="E635" s="2">
        <v>4</v>
      </c>
      <c r="F635" s="2" t="str">
        <f>_xlfn.XLOOKUP(orders!C635,customers!$A$1:$A$1001,customers!$B$1:$B$1001,,0)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9">
        <f>INDEX(products!$A$1:$G$49,MATCH(orders!$D635,products!$A$1:$A$49,0),MATCH(orders!K$1,products!$A$1:$G$1,0))</f>
        <v>1</v>
      </c>
      <c r="L635" s="10">
        <f>INDEX(products!$A$1:$G$49,MATCH(orders!$D635,products!$A$1:$A$49,0),MATCH(orders!L$1,products!$A$1:$G$1,0))</f>
        <v>11.95</v>
      </c>
      <c r="M635" s="10">
        <f t="shared" si="27"/>
        <v>47.8</v>
      </c>
      <c r="N635" t="str">
        <f t="shared" si="28"/>
        <v>Robusta</v>
      </c>
      <c r="O635" t="str">
        <f t="shared" si="29"/>
        <v>Light</v>
      </c>
      <c r="P635" t="str">
        <f>_xlfn.XLOOKUP(Table1[[#This Row],[Customer ID]],customers!$A$1:$A$1001,customers!$I$1:$I$1001,,0)</f>
        <v>No</v>
      </c>
    </row>
    <row r="636" spans="1:16" x14ac:dyDescent="0.25">
      <c r="A636" s="2" t="s">
        <v>4068</v>
      </c>
      <c r="B636" s="8">
        <v>43940</v>
      </c>
      <c r="C636" s="2" t="s">
        <v>4069</v>
      </c>
      <c r="D636" t="s">
        <v>6162</v>
      </c>
      <c r="E636" s="2">
        <v>3</v>
      </c>
      <c r="F636" s="2" t="str">
        <f>_xlfn.XLOOKUP(orders!C636,customers!$A$1:$A$1001,customers!$B$1:$B$1001,,0)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9">
        <f>INDEX(products!$A$1:$G$49,MATCH(orders!$D636,products!$A$1:$A$49,0),MATCH(orders!K$1,products!$A$1:$G$1,0))</f>
        <v>1</v>
      </c>
      <c r="L636" s="10">
        <f>INDEX(products!$A$1:$G$49,MATCH(orders!$D636,products!$A$1:$A$49,0),MATCH(orders!L$1,products!$A$1:$G$1,0))</f>
        <v>14.55</v>
      </c>
      <c r="M636" s="10">
        <f t="shared" si="27"/>
        <v>43.650000000000006</v>
      </c>
      <c r="N636" t="str">
        <f t="shared" si="28"/>
        <v>Liberica</v>
      </c>
      <c r="O636" t="str">
        <f t="shared" si="29"/>
        <v>Medium</v>
      </c>
      <c r="P636" t="str">
        <f>_xlfn.XLOOKUP(Table1[[#This Row],[Customer ID]],customers!$A$1:$A$1001,customers!$I$1:$I$1001,,0)</f>
        <v>No</v>
      </c>
    </row>
    <row r="637" spans="1:16" x14ac:dyDescent="0.25">
      <c r="A637" s="2" t="s">
        <v>4074</v>
      </c>
      <c r="B637" s="8">
        <v>44578</v>
      </c>
      <c r="C637" s="2" t="s">
        <v>4075</v>
      </c>
      <c r="D637" t="s">
        <v>6176</v>
      </c>
      <c r="E637" s="2">
        <v>4</v>
      </c>
      <c r="F637" s="2" t="str">
        <f>_xlfn.XLOOKUP(orders!C637,customers!$A$1:$A$1001,customers!$B$1:$B$1001,,0)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9">
        <f>INDEX(products!$A$1:$G$49,MATCH(orders!$D637,products!$A$1:$A$49,0),MATCH(orders!K$1,products!$A$1:$G$1,0))</f>
        <v>0.5</v>
      </c>
      <c r="L637" s="10">
        <f>INDEX(products!$A$1:$G$49,MATCH(orders!$D637,products!$A$1:$A$49,0),MATCH(orders!L$1,products!$A$1:$G$1,0))</f>
        <v>8.91</v>
      </c>
      <c r="M637" s="10">
        <f t="shared" si="27"/>
        <v>35.64</v>
      </c>
      <c r="N637" t="str">
        <f t="shared" si="28"/>
        <v>Excelsa</v>
      </c>
      <c r="O637" t="str">
        <f t="shared" si="29"/>
        <v>Light</v>
      </c>
      <c r="P637" t="str">
        <f>_xlfn.XLOOKUP(Table1[[#This Row],[Customer ID]],customers!$A$1:$A$1001,customers!$I$1:$I$1001,,0)</f>
        <v>Yes</v>
      </c>
    </row>
    <row r="638" spans="1:16" x14ac:dyDescent="0.25">
      <c r="A638" s="2" t="s">
        <v>4080</v>
      </c>
      <c r="B638" s="8">
        <v>43487</v>
      </c>
      <c r="C638" s="2" t="s">
        <v>4081</v>
      </c>
      <c r="D638" t="s">
        <v>6170</v>
      </c>
      <c r="E638" s="2">
        <v>6</v>
      </c>
      <c r="F638" s="2" t="str">
        <f>_xlfn.XLOOKUP(orders!C638,customers!$A$1:$A$1001,customers!$B$1:$B$1001,,0)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9">
        <f>INDEX(products!$A$1:$G$49,MATCH(orders!$D638,products!$A$1:$A$49,0),MATCH(orders!K$1,products!$A$1:$G$1,0))</f>
        <v>1</v>
      </c>
      <c r="L638" s="10">
        <f>INDEX(products!$A$1:$G$49,MATCH(orders!$D638,products!$A$1:$A$49,0),MATCH(orders!L$1,products!$A$1:$G$1,0))</f>
        <v>15.85</v>
      </c>
      <c r="M638" s="10">
        <f t="shared" si="27"/>
        <v>95.1</v>
      </c>
      <c r="N638" t="str">
        <f t="shared" si="28"/>
        <v>Liberica</v>
      </c>
      <c r="O638" t="str">
        <f t="shared" si="29"/>
        <v>Light</v>
      </c>
      <c r="P638" t="str">
        <f>_xlfn.XLOOKUP(Table1[[#This Row],[Customer ID]],customers!$A$1:$A$1001,customers!$I$1:$I$1001,,0)</f>
        <v>Yes</v>
      </c>
    </row>
    <row r="639" spans="1:16" x14ac:dyDescent="0.25">
      <c r="A639" s="2" t="s">
        <v>4086</v>
      </c>
      <c r="B639" s="8">
        <v>43889</v>
      </c>
      <c r="C639" s="2" t="s">
        <v>4087</v>
      </c>
      <c r="D639" t="s">
        <v>6166</v>
      </c>
      <c r="E639" s="2">
        <v>1</v>
      </c>
      <c r="F639" s="2" t="str">
        <f>_xlfn.XLOOKUP(orders!C639,customers!$A$1:$A$1001,customers!$B$1:$B$1001,,0)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9">
        <f>INDEX(products!$A$1:$G$49,MATCH(orders!$D639,products!$A$1:$A$49,0),MATCH(orders!K$1,products!$A$1:$G$1,0))</f>
        <v>2.5</v>
      </c>
      <c r="L639" s="10">
        <f>INDEX(products!$A$1:$G$49,MATCH(orders!$D639,products!$A$1:$A$49,0),MATCH(orders!L$1,products!$A$1:$G$1,0))</f>
        <v>31.624999999999996</v>
      </c>
      <c r="M639" s="10">
        <f t="shared" si="27"/>
        <v>31.624999999999996</v>
      </c>
      <c r="N639" t="str">
        <f t="shared" si="28"/>
        <v>Excelsa</v>
      </c>
      <c r="O639" t="str">
        <f t="shared" si="29"/>
        <v>Medium</v>
      </c>
      <c r="P639" t="str">
        <f>_xlfn.XLOOKUP(Table1[[#This Row],[Customer ID]],customers!$A$1:$A$1001,customers!$I$1:$I$1001,,0)</f>
        <v>Yes</v>
      </c>
    </row>
    <row r="640" spans="1:16" x14ac:dyDescent="0.25">
      <c r="A640" s="2" t="s">
        <v>4093</v>
      </c>
      <c r="B640" s="8">
        <v>43684</v>
      </c>
      <c r="C640" s="2" t="s">
        <v>4094</v>
      </c>
      <c r="D640" t="s">
        <v>6175</v>
      </c>
      <c r="E640" s="2">
        <v>3</v>
      </c>
      <c r="F640" s="2" t="str">
        <f>_xlfn.XLOOKUP(orders!C640,customers!$A$1:$A$1001,customers!$B$1:$B$1001,,0)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9">
        <f>INDEX(products!$A$1:$G$49,MATCH(orders!$D640,products!$A$1:$A$49,0),MATCH(orders!K$1,products!$A$1:$G$1,0))</f>
        <v>2.5</v>
      </c>
      <c r="L640" s="10">
        <f>INDEX(products!$A$1:$G$49,MATCH(orders!$D640,products!$A$1:$A$49,0),MATCH(orders!L$1,products!$A$1:$G$1,0))</f>
        <v>25.874999999999996</v>
      </c>
      <c r="M640" s="10">
        <f t="shared" si="27"/>
        <v>77.624999999999986</v>
      </c>
      <c r="N640" t="str">
        <f t="shared" si="28"/>
        <v>Arabica</v>
      </c>
      <c r="O640" t="str">
        <f t="shared" si="29"/>
        <v>Medium</v>
      </c>
      <c r="P640" t="str">
        <f>_xlfn.XLOOKUP(Table1[[#This Row],[Customer ID]],customers!$A$1:$A$1001,customers!$I$1:$I$1001,,0)</f>
        <v>Yes</v>
      </c>
    </row>
    <row r="641" spans="1:16" x14ac:dyDescent="0.25">
      <c r="A641" s="2" t="s">
        <v>4098</v>
      </c>
      <c r="B641" s="8">
        <v>44331</v>
      </c>
      <c r="C641" s="2" t="s">
        <v>4099</v>
      </c>
      <c r="D641" t="s">
        <v>6150</v>
      </c>
      <c r="E641" s="2">
        <v>1</v>
      </c>
      <c r="F641" s="2" t="str">
        <f>_xlfn.XLOOKUP(orders!C641,customers!$A$1:$A$1001,customers!$B$1:$B$1001,,0)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9">
        <f>INDEX(products!$A$1:$G$49,MATCH(orders!$D641,products!$A$1:$A$49,0),MATCH(orders!K$1,products!$A$1:$G$1,0))</f>
        <v>0.2</v>
      </c>
      <c r="L641" s="10">
        <f>INDEX(products!$A$1:$G$49,MATCH(orders!$D641,products!$A$1:$A$49,0),MATCH(orders!L$1,products!$A$1:$G$1,0))</f>
        <v>3.8849999999999998</v>
      </c>
      <c r="M641" s="10">
        <f t="shared" si="27"/>
        <v>3.8849999999999998</v>
      </c>
      <c r="N641" t="str">
        <f t="shared" si="28"/>
        <v>Liberica</v>
      </c>
      <c r="O641" t="str">
        <f t="shared" si="29"/>
        <v>Dark</v>
      </c>
      <c r="P641" t="str">
        <f>_xlfn.XLOOKUP(Table1[[#This Row],[Customer ID]],customers!$A$1:$A$1001,customers!$I$1:$I$1001,,0)</f>
        <v>Yes</v>
      </c>
    </row>
    <row r="642" spans="1:16" x14ac:dyDescent="0.25">
      <c r="A642" s="2" t="s">
        <v>4104</v>
      </c>
      <c r="B642" s="8">
        <v>44547</v>
      </c>
      <c r="C642" s="2" t="s">
        <v>4152</v>
      </c>
      <c r="D642" t="s">
        <v>6142</v>
      </c>
      <c r="E642" s="2">
        <v>5</v>
      </c>
      <c r="F642" s="2" t="str">
        <f>_xlfn.XLOOKUP(orders!C642,customers!$A$1:$A$1001,customers!$B$1:$B$1001,,0)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9">
        <f>INDEX(products!$A$1:$G$49,MATCH(orders!$D642,products!$A$1:$A$49,0),MATCH(orders!K$1,products!$A$1:$G$1,0))</f>
        <v>2.5</v>
      </c>
      <c r="L642" s="10">
        <f>INDEX(products!$A$1:$G$49,MATCH(orders!$D642,products!$A$1:$A$49,0),MATCH(orders!L$1,products!$A$1:$G$1,0))</f>
        <v>27.484999999999996</v>
      </c>
      <c r="M642" s="10">
        <f t="shared" si="27"/>
        <v>137.42499999999998</v>
      </c>
      <c r="N642" t="str">
        <f t="shared" si="28"/>
        <v>Robusta</v>
      </c>
      <c r="O642" t="str">
        <f t="shared" si="29"/>
        <v>Light</v>
      </c>
      <c r="P642" t="str">
        <f>_xlfn.XLOOKUP(Table1[[#This Row],[Customer ID]],customers!$A$1:$A$1001,customers!$I$1:$I$1001,,0)</f>
        <v>No</v>
      </c>
    </row>
    <row r="643" spans="1:16" x14ac:dyDescent="0.25">
      <c r="A643" s="2" t="s">
        <v>4109</v>
      </c>
      <c r="B643" s="8">
        <v>44448</v>
      </c>
      <c r="C643" s="2" t="s">
        <v>4110</v>
      </c>
      <c r="D643" t="s">
        <v>6179</v>
      </c>
      <c r="E643" s="2">
        <v>3</v>
      </c>
      <c r="F643" s="2" t="str">
        <f>_xlfn.XLOOKUP(orders!C643,customers!$A$1:$A$1001,customers!$B$1:$B$1001,,0)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9">
        <f>INDEX(products!$A$1:$G$49,MATCH(orders!$D643,products!$A$1:$A$49,0),MATCH(orders!K$1,products!$A$1:$G$1,0))</f>
        <v>1</v>
      </c>
      <c r="L643" s="10">
        <f>INDEX(products!$A$1:$G$49,MATCH(orders!$D643,products!$A$1:$A$49,0),MATCH(orders!L$1,products!$A$1:$G$1,0))</f>
        <v>11.95</v>
      </c>
      <c r="M643" s="10">
        <f t="shared" ref="M643:M706" si="30">L643*E643</f>
        <v>35.849999999999994</v>
      </c>
      <c r="N643" t="str">
        <f t="shared" ref="N643:N706" si="31">IF(I643="Rob", "Robusta", IF(I643="Exc","Excelsa", IF(I643="Ara","Arabica", IF(I643="Lib","Liberica",""))))</f>
        <v>Robusta</v>
      </c>
      <c r="O643" t="str">
        <f t="shared" ref="O643:O706" si="32">IF(J643="M", "Medium", IF(J643="L","Light",IF(J643="D","Dark","")))</f>
        <v>Light</v>
      </c>
      <c r="P643" t="str">
        <f>_xlfn.XLOOKUP(Table1[[#This Row],[Customer ID]],customers!$A$1:$A$1001,customers!$I$1:$I$1001,,0)</f>
        <v>Yes</v>
      </c>
    </row>
    <row r="644" spans="1:16" x14ac:dyDescent="0.25">
      <c r="A644" s="2" t="s">
        <v>4115</v>
      </c>
      <c r="B644" s="8">
        <v>43880</v>
      </c>
      <c r="C644" s="2" t="s">
        <v>4116</v>
      </c>
      <c r="D644" t="s">
        <v>6156</v>
      </c>
      <c r="E644" s="2">
        <v>2</v>
      </c>
      <c r="F644" s="2" t="str">
        <f>_xlfn.XLOOKUP(orders!C644,customers!$A$1:$A$1001,customers!$B$1:$B$1001,,0)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9">
        <f>INDEX(products!$A$1:$G$49,MATCH(orders!$D644,products!$A$1:$A$49,0),MATCH(orders!K$1,products!$A$1:$G$1,0))</f>
        <v>0.2</v>
      </c>
      <c r="L644" s="10">
        <f>INDEX(products!$A$1:$G$49,MATCH(orders!$D644,products!$A$1:$A$49,0),MATCH(orders!L$1,products!$A$1:$G$1,0))</f>
        <v>4.125</v>
      </c>
      <c r="M644" s="10">
        <f t="shared" si="30"/>
        <v>8.25</v>
      </c>
      <c r="N644" t="str">
        <f t="shared" si="31"/>
        <v>Excelsa</v>
      </c>
      <c r="O644" t="str">
        <f t="shared" si="32"/>
        <v>Medium</v>
      </c>
      <c r="P644" t="str">
        <f>_xlfn.XLOOKUP(Table1[[#This Row],[Customer ID]],customers!$A$1:$A$1001,customers!$I$1:$I$1001,,0)</f>
        <v>Yes</v>
      </c>
    </row>
    <row r="645" spans="1:16" x14ac:dyDescent="0.25">
      <c r="A645" s="2" t="s">
        <v>4123</v>
      </c>
      <c r="B645" s="8">
        <v>44011</v>
      </c>
      <c r="C645" s="2" t="s">
        <v>4124</v>
      </c>
      <c r="D645" t="s">
        <v>6148</v>
      </c>
      <c r="E645" s="2">
        <v>3</v>
      </c>
      <c r="F645" s="2" t="str">
        <f>_xlfn.XLOOKUP(orders!C645,customers!$A$1:$A$1001,customers!$B$1:$B$1001,,0)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9">
        <f>INDEX(products!$A$1:$G$49,MATCH(orders!$D645,products!$A$1:$A$49,0),MATCH(orders!K$1,products!$A$1:$G$1,0))</f>
        <v>2.5</v>
      </c>
      <c r="L645" s="10">
        <f>INDEX(products!$A$1:$G$49,MATCH(orders!$D645,products!$A$1:$A$49,0),MATCH(orders!L$1,products!$A$1:$G$1,0))</f>
        <v>34.154999999999994</v>
      </c>
      <c r="M645" s="10">
        <f t="shared" si="30"/>
        <v>102.46499999999997</v>
      </c>
      <c r="N645" t="str">
        <f t="shared" si="31"/>
        <v>Excelsa</v>
      </c>
      <c r="O645" t="str">
        <f t="shared" si="32"/>
        <v>Light</v>
      </c>
      <c r="P645" t="str">
        <f>_xlfn.XLOOKUP(Table1[[#This Row],[Customer ID]],customers!$A$1:$A$1001,customers!$I$1:$I$1001,,0)</f>
        <v>Yes</v>
      </c>
    </row>
    <row r="646" spans="1:16" x14ac:dyDescent="0.25">
      <c r="A646" s="2" t="s">
        <v>4128</v>
      </c>
      <c r="B646" s="8">
        <v>44694</v>
      </c>
      <c r="C646" s="2" t="s">
        <v>4129</v>
      </c>
      <c r="D646" t="s">
        <v>6149</v>
      </c>
      <c r="E646" s="2">
        <v>2</v>
      </c>
      <c r="F646" s="2" t="str">
        <f>_xlfn.XLOOKUP(orders!C646,customers!$A$1:$A$1001,customers!$B$1:$B$1001,,0)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9">
        <f>INDEX(products!$A$1:$G$49,MATCH(orders!$D646,products!$A$1:$A$49,0),MATCH(orders!K$1,products!$A$1:$G$1,0))</f>
        <v>2.5</v>
      </c>
      <c r="L646" s="10">
        <f>INDEX(products!$A$1:$G$49,MATCH(orders!$D646,products!$A$1:$A$49,0),MATCH(orders!L$1,products!$A$1:$G$1,0))</f>
        <v>20.584999999999997</v>
      </c>
      <c r="M646" s="10">
        <f t="shared" si="30"/>
        <v>41.169999999999995</v>
      </c>
      <c r="N646" t="str">
        <f t="shared" si="31"/>
        <v>Robusta</v>
      </c>
      <c r="O646" t="str">
        <f t="shared" si="32"/>
        <v>Dark</v>
      </c>
      <c r="P646" t="str">
        <f>_xlfn.XLOOKUP(Table1[[#This Row],[Customer ID]],customers!$A$1:$A$1001,customers!$I$1:$I$1001,,0)</f>
        <v>No</v>
      </c>
    </row>
    <row r="647" spans="1:16" x14ac:dyDescent="0.25">
      <c r="A647" s="2" t="s">
        <v>4133</v>
      </c>
      <c r="B647" s="8">
        <v>44106</v>
      </c>
      <c r="C647" s="2" t="s">
        <v>4134</v>
      </c>
      <c r="D647" t="s">
        <v>6168</v>
      </c>
      <c r="E647" s="2">
        <v>3</v>
      </c>
      <c r="F647" s="2" t="str">
        <f>_xlfn.XLOOKUP(orders!C647,customers!$A$1:$A$1001,customers!$B$1:$B$1001,,0)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9">
        <f>INDEX(products!$A$1:$G$49,MATCH(orders!$D647,products!$A$1:$A$49,0),MATCH(orders!K$1,products!$A$1:$G$1,0))</f>
        <v>2.5</v>
      </c>
      <c r="L647" s="10">
        <f>INDEX(products!$A$1:$G$49,MATCH(orders!$D647,products!$A$1:$A$49,0),MATCH(orders!L$1,products!$A$1:$G$1,0))</f>
        <v>22.884999999999998</v>
      </c>
      <c r="M647" s="10">
        <f t="shared" si="30"/>
        <v>68.655000000000001</v>
      </c>
      <c r="N647" t="str">
        <f t="shared" si="31"/>
        <v>Arabica</v>
      </c>
      <c r="O647" t="str">
        <f t="shared" si="32"/>
        <v>Dark</v>
      </c>
      <c r="P647" t="str">
        <f>_xlfn.XLOOKUP(Table1[[#This Row],[Customer ID]],customers!$A$1:$A$1001,customers!$I$1:$I$1001,,0)</f>
        <v>Yes</v>
      </c>
    </row>
    <row r="648" spans="1:16" x14ac:dyDescent="0.25">
      <c r="A648" s="2" t="s">
        <v>4139</v>
      </c>
      <c r="B648" s="8">
        <v>44532</v>
      </c>
      <c r="C648" s="2" t="s">
        <v>4140</v>
      </c>
      <c r="D648" t="s">
        <v>6147</v>
      </c>
      <c r="E648" s="2">
        <v>1</v>
      </c>
      <c r="F648" s="2" t="str">
        <f>_xlfn.XLOOKUP(orders!C648,customers!$A$1:$A$1001,customers!$B$1:$B$1001,,0)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9">
        <f>INDEX(products!$A$1:$G$49,MATCH(orders!$D648,products!$A$1:$A$49,0),MATCH(orders!K$1,products!$A$1:$G$1,0))</f>
        <v>1</v>
      </c>
      <c r="L648" s="10">
        <f>INDEX(products!$A$1:$G$49,MATCH(orders!$D648,products!$A$1:$A$49,0),MATCH(orders!L$1,products!$A$1:$G$1,0))</f>
        <v>9.9499999999999993</v>
      </c>
      <c r="M648" s="10">
        <f t="shared" si="30"/>
        <v>9.9499999999999993</v>
      </c>
      <c r="N648" t="str">
        <f t="shared" si="31"/>
        <v>Arabica</v>
      </c>
      <c r="O648" t="str">
        <f t="shared" si="32"/>
        <v>Dark</v>
      </c>
      <c r="P648" t="str">
        <f>_xlfn.XLOOKUP(Table1[[#This Row],[Customer ID]],customers!$A$1:$A$1001,customers!$I$1:$I$1001,,0)</f>
        <v>Yes</v>
      </c>
    </row>
    <row r="649" spans="1:16" x14ac:dyDescent="0.25">
      <c r="A649" s="2" t="s">
        <v>4145</v>
      </c>
      <c r="B649" s="8">
        <v>44502</v>
      </c>
      <c r="C649" s="2" t="s">
        <v>4146</v>
      </c>
      <c r="D649" t="s">
        <v>6161</v>
      </c>
      <c r="E649" s="2">
        <v>3</v>
      </c>
      <c r="F649" s="2" t="str">
        <f>_xlfn.XLOOKUP(orders!C649,customers!$A$1:$A$1001,customers!$B$1:$B$1001,,0)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9">
        <f>INDEX(products!$A$1:$G$49,MATCH(orders!$D649,products!$A$1:$A$49,0),MATCH(orders!K$1,products!$A$1:$G$1,0))</f>
        <v>0.5</v>
      </c>
      <c r="L649" s="10">
        <f>INDEX(products!$A$1:$G$49,MATCH(orders!$D649,products!$A$1:$A$49,0),MATCH(orders!L$1,products!$A$1:$G$1,0))</f>
        <v>9.51</v>
      </c>
      <c r="M649" s="10">
        <f t="shared" si="30"/>
        <v>28.53</v>
      </c>
      <c r="N649" t="str">
        <f t="shared" si="31"/>
        <v>Liberica</v>
      </c>
      <c r="O649" t="str">
        <f t="shared" si="32"/>
        <v>Light</v>
      </c>
      <c r="P649" t="str">
        <f>_xlfn.XLOOKUP(Table1[[#This Row],[Customer ID]],customers!$A$1:$A$1001,customers!$I$1:$I$1001,,0)</f>
        <v>Yes</v>
      </c>
    </row>
    <row r="650" spans="1:16" x14ac:dyDescent="0.25">
      <c r="A650" s="2" t="s">
        <v>4151</v>
      </c>
      <c r="B650" s="8">
        <v>43884</v>
      </c>
      <c r="C650" s="2" t="s">
        <v>4152</v>
      </c>
      <c r="D650" t="s">
        <v>6163</v>
      </c>
      <c r="E650" s="2">
        <v>6</v>
      </c>
      <c r="F650" s="2" t="str">
        <f>_xlfn.XLOOKUP(orders!C650,customers!$A$1:$A$1001,customers!$B$1:$B$1001,,0)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9">
        <f>INDEX(products!$A$1:$G$49,MATCH(orders!$D650,products!$A$1:$A$49,0),MATCH(orders!K$1,products!$A$1:$G$1,0))</f>
        <v>0.2</v>
      </c>
      <c r="L650" s="10">
        <f>INDEX(products!$A$1:$G$49,MATCH(orders!$D650,products!$A$1:$A$49,0),MATCH(orders!L$1,products!$A$1:$G$1,0))</f>
        <v>2.6849999999999996</v>
      </c>
      <c r="M650" s="10">
        <f t="shared" si="30"/>
        <v>16.11</v>
      </c>
      <c r="N650" t="str">
        <f t="shared" si="31"/>
        <v>Robusta</v>
      </c>
      <c r="O650" t="str">
        <f t="shared" si="32"/>
        <v>Dark</v>
      </c>
      <c r="P650" t="str">
        <f>_xlfn.XLOOKUP(Table1[[#This Row],[Customer ID]],customers!$A$1:$A$1001,customers!$I$1:$I$1001,,0)</f>
        <v>No</v>
      </c>
    </row>
    <row r="651" spans="1:16" x14ac:dyDescent="0.25">
      <c r="A651" s="2" t="s">
        <v>4157</v>
      </c>
      <c r="B651" s="8">
        <v>44015</v>
      </c>
      <c r="C651" s="2" t="s">
        <v>4158</v>
      </c>
      <c r="D651" t="s">
        <v>6170</v>
      </c>
      <c r="E651" s="2">
        <v>6</v>
      </c>
      <c r="F651" s="2" t="str">
        <f>_xlfn.XLOOKUP(orders!C651,customers!$A$1:$A$1001,customers!$B$1:$B$1001,,0)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9">
        <f>INDEX(products!$A$1:$G$49,MATCH(orders!$D651,products!$A$1:$A$49,0),MATCH(orders!K$1,products!$A$1:$G$1,0))</f>
        <v>1</v>
      </c>
      <c r="L651" s="10">
        <f>INDEX(products!$A$1:$G$49,MATCH(orders!$D651,products!$A$1:$A$49,0),MATCH(orders!L$1,products!$A$1:$G$1,0))</f>
        <v>15.85</v>
      </c>
      <c r="M651" s="10">
        <f t="shared" si="30"/>
        <v>95.1</v>
      </c>
      <c r="N651" t="str">
        <f t="shared" si="31"/>
        <v>Liberica</v>
      </c>
      <c r="O651" t="str">
        <f t="shared" si="32"/>
        <v>Light</v>
      </c>
      <c r="P651" t="str">
        <f>_xlfn.XLOOKUP(Table1[[#This Row],[Customer ID]],customers!$A$1:$A$1001,customers!$I$1:$I$1001,,0)</f>
        <v>No</v>
      </c>
    </row>
    <row r="652" spans="1:16" x14ac:dyDescent="0.25">
      <c r="A652" s="2" t="s">
        <v>4163</v>
      </c>
      <c r="B652" s="8">
        <v>43507</v>
      </c>
      <c r="C652" s="2" t="s">
        <v>4164</v>
      </c>
      <c r="D652" t="s">
        <v>6172</v>
      </c>
      <c r="E652" s="2">
        <v>1</v>
      </c>
      <c r="F652" s="2" t="str">
        <f>_xlfn.XLOOKUP(orders!C652,customers!$A$1:$A$1001,customers!$B$1:$B$1001,,0)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9">
        <f>INDEX(products!$A$1:$G$49,MATCH(orders!$D652,products!$A$1:$A$49,0),MATCH(orders!K$1,products!$A$1:$G$1,0))</f>
        <v>0.5</v>
      </c>
      <c r="L652" s="10">
        <f>INDEX(products!$A$1:$G$49,MATCH(orders!$D652,products!$A$1:$A$49,0),MATCH(orders!L$1,products!$A$1:$G$1,0))</f>
        <v>5.3699999999999992</v>
      </c>
      <c r="M652" s="10">
        <f t="shared" si="30"/>
        <v>5.3699999999999992</v>
      </c>
      <c r="N652" t="str">
        <f t="shared" si="31"/>
        <v>Robusta</v>
      </c>
      <c r="O652" t="str">
        <f t="shared" si="32"/>
        <v>Dark</v>
      </c>
      <c r="P652" t="str">
        <f>_xlfn.XLOOKUP(Table1[[#This Row],[Customer ID]],customers!$A$1:$A$1001,customers!$I$1:$I$1001,,0)</f>
        <v>Yes</v>
      </c>
    </row>
    <row r="653" spans="1:16" x14ac:dyDescent="0.25">
      <c r="A653" s="2" t="s">
        <v>4169</v>
      </c>
      <c r="B653" s="8">
        <v>44084</v>
      </c>
      <c r="C653" s="2" t="s">
        <v>4170</v>
      </c>
      <c r="D653" t="s">
        <v>6179</v>
      </c>
      <c r="E653" s="2">
        <v>4</v>
      </c>
      <c r="F653" s="2" t="str">
        <f>_xlfn.XLOOKUP(orders!C653,customers!$A$1:$A$1001,customers!$B$1:$B$1001,,0)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9">
        <f>INDEX(products!$A$1:$G$49,MATCH(orders!$D653,products!$A$1:$A$49,0),MATCH(orders!K$1,products!$A$1:$G$1,0))</f>
        <v>1</v>
      </c>
      <c r="L653" s="10">
        <f>INDEX(products!$A$1:$G$49,MATCH(orders!$D653,products!$A$1:$A$49,0),MATCH(orders!L$1,products!$A$1:$G$1,0))</f>
        <v>11.95</v>
      </c>
      <c r="M653" s="10">
        <f t="shared" si="30"/>
        <v>47.8</v>
      </c>
      <c r="N653" t="str">
        <f t="shared" si="31"/>
        <v>Robusta</v>
      </c>
      <c r="O653" t="str">
        <f t="shared" si="32"/>
        <v>Light</v>
      </c>
      <c r="P653" t="str">
        <f>_xlfn.XLOOKUP(Table1[[#This Row],[Customer ID]],customers!$A$1:$A$1001,customers!$I$1:$I$1001,,0)</f>
        <v>No</v>
      </c>
    </row>
    <row r="654" spans="1:16" x14ac:dyDescent="0.25">
      <c r="A654" s="2" t="s">
        <v>4174</v>
      </c>
      <c r="B654" s="8">
        <v>43892</v>
      </c>
      <c r="C654" s="2" t="s">
        <v>4175</v>
      </c>
      <c r="D654" t="s">
        <v>6170</v>
      </c>
      <c r="E654" s="2">
        <v>4</v>
      </c>
      <c r="F654" s="2" t="str">
        <f>_xlfn.XLOOKUP(orders!C654,customers!$A$1:$A$1001,customers!$B$1:$B$1001,,0)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9">
        <f>INDEX(products!$A$1:$G$49,MATCH(orders!$D654,products!$A$1:$A$49,0),MATCH(orders!K$1,products!$A$1:$G$1,0))</f>
        <v>1</v>
      </c>
      <c r="L654" s="10">
        <f>INDEX(products!$A$1:$G$49,MATCH(orders!$D654,products!$A$1:$A$49,0),MATCH(orders!L$1,products!$A$1:$G$1,0))</f>
        <v>15.85</v>
      </c>
      <c r="M654" s="10">
        <f t="shared" si="30"/>
        <v>63.4</v>
      </c>
      <c r="N654" t="str">
        <f t="shared" si="31"/>
        <v>Liberica</v>
      </c>
      <c r="O654" t="str">
        <f t="shared" si="32"/>
        <v>Light</v>
      </c>
      <c r="P654" t="str">
        <f>_xlfn.XLOOKUP(Table1[[#This Row],[Customer ID]],customers!$A$1:$A$1001,customers!$I$1:$I$1001,,0)</f>
        <v>No</v>
      </c>
    </row>
    <row r="655" spans="1:16" x14ac:dyDescent="0.25">
      <c r="A655" s="2" t="s">
        <v>4179</v>
      </c>
      <c r="B655" s="8">
        <v>44375</v>
      </c>
      <c r="C655" s="2" t="s">
        <v>4180</v>
      </c>
      <c r="D655" t="s">
        <v>6175</v>
      </c>
      <c r="E655" s="2">
        <v>4</v>
      </c>
      <c r="F655" s="2" t="str">
        <f>_xlfn.XLOOKUP(orders!C655,customers!$A$1:$A$1001,customers!$B$1:$B$1001,,0)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9">
        <f>INDEX(products!$A$1:$G$49,MATCH(orders!$D655,products!$A$1:$A$49,0),MATCH(orders!K$1,products!$A$1:$G$1,0))</f>
        <v>2.5</v>
      </c>
      <c r="L655" s="10">
        <f>INDEX(products!$A$1:$G$49,MATCH(orders!$D655,products!$A$1:$A$49,0),MATCH(orders!L$1,products!$A$1:$G$1,0))</f>
        <v>25.874999999999996</v>
      </c>
      <c r="M655" s="10">
        <f t="shared" si="30"/>
        <v>103.49999999999999</v>
      </c>
      <c r="N655" t="str">
        <f t="shared" si="31"/>
        <v>Arabica</v>
      </c>
      <c r="O655" t="str">
        <f t="shared" si="32"/>
        <v>Medium</v>
      </c>
      <c r="P655" t="str">
        <f>_xlfn.XLOOKUP(Table1[[#This Row],[Customer ID]],customers!$A$1:$A$1001,customers!$I$1:$I$1001,,0)</f>
        <v>No</v>
      </c>
    </row>
    <row r="656" spans="1:16" x14ac:dyDescent="0.25">
      <c r="A656" s="2" t="s">
        <v>4185</v>
      </c>
      <c r="B656" s="8">
        <v>43476</v>
      </c>
      <c r="C656" s="2" t="s">
        <v>4186</v>
      </c>
      <c r="D656" t="s">
        <v>6168</v>
      </c>
      <c r="E656" s="2">
        <v>3</v>
      </c>
      <c r="F656" s="2" t="str">
        <f>_xlfn.XLOOKUP(orders!C656,customers!$A$1:$A$1001,customers!$B$1:$B$1001,,0)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9">
        <f>INDEX(products!$A$1:$G$49,MATCH(orders!$D656,products!$A$1:$A$49,0),MATCH(orders!K$1,products!$A$1:$G$1,0))</f>
        <v>2.5</v>
      </c>
      <c r="L656" s="10">
        <f>INDEX(products!$A$1:$G$49,MATCH(orders!$D656,products!$A$1:$A$49,0),MATCH(orders!L$1,products!$A$1:$G$1,0))</f>
        <v>22.884999999999998</v>
      </c>
      <c r="M656" s="10">
        <f t="shared" si="30"/>
        <v>68.655000000000001</v>
      </c>
      <c r="N656" t="str">
        <f t="shared" si="31"/>
        <v>Arabica</v>
      </c>
      <c r="O656" t="str">
        <f t="shared" si="32"/>
        <v>Dark</v>
      </c>
      <c r="P656" t="str">
        <f>_xlfn.XLOOKUP(Table1[[#This Row],[Customer ID]],customers!$A$1:$A$1001,customers!$I$1:$I$1001,,0)</f>
        <v>No</v>
      </c>
    </row>
    <row r="657" spans="1:16" x14ac:dyDescent="0.25">
      <c r="A657" s="2" t="s">
        <v>4191</v>
      </c>
      <c r="B657" s="8">
        <v>43728</v>
      </c>
      <c r="C657" s="2" t="s">
        <v>4192</v>
      </c>
      <c r="D657" t="s">
        <v>6151</v>
      </c>
      <c r="E657" s="2">
        <v>2</v>
      </c>
      <c r="F657" s="2" t="str">
        <f>_xlfn.XLOOKUP(orders!C657,customers!$A$1:$A$1001,customers!$B$1:$B$1001,,0)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9">
        <f>INDEX(products!$A$1:$G$49,MATCH(orders!$D657,products!$A$1:$A$49,0),MATCH(orders!K$1,products!$A$1:$G$1,0))</f>
        <v>2.5</v>
      </c>
      <c r="L657" s="10">
        <f>INDEX(products!$A$1:$G$49,MATCH(orders!$D657,products!$A$1:$A$49,0),MATCH(orders!L$1,products!$A$1:$G$1,0))</f>
        <v>22.884999999999998</v>
      </c>
      <c r="M657" s="10">
        <f t="shared" si="30"/>
        <v>45.769999999999996</v>
      </c>
      <c r="N657" t="str">
        <f t="shared" si="31"/>
        <v>Robusta</v>
      </c>
      <c r="O657" t="str">
        <f t="shared" si="32"/>
        <v>Medium</v>
      </c>
      <c r="P657" t="str">
        <f>_xlfn.XLOOKUP(Table1[[#This Row],[Customer ID]],customers!$A$1:$A$1001,customers!$I$1:$I$1001,,0)</f>
        <v>Yes</v>
      </c>
    </row>
    <row r="658" spans="1:16" x14ac:dyDescent="0.25">
      <c r="A658" s="2" t="s">
        <v>4196</v>
      </c>
      <c r="B658" s="8">
        <v>44485</v>
      </c>
      <c r="C658" s="2" t="s">
        <v>4197</v>
      </c>
      <c r="D658" t="s">
        <v>6143</v>
      </c>
      <c r="E658" s="2">
        <v>4</v>
      </c>
      <c r="F658" s="2" t="str">
        <f>_xlfn.XLOOKUP(orders!C658,customers!$A$1:$A$1001,customers!$B$1:$B$1001,,0)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9">
        <f>INDEX(products!$A$1:$G$49,MATCH(orders!$D658,products!$A$1:$A$49,0),MATCH(orders!K$1,products!$A$1:$G$1,0))</f>
        <v>1</v>
      </c>
      <c r="L658" s="10">
        <f>INDEX(products!$A$1:$G$49,MATCH(orders!$D658,products!$A$1:$A$49,0),MATCH(orders!L$1,products!$A$1:$G$1,0))</f>
        <v>12.95</v>
      </c>
      <c r="M658" s="10">
        <f t="shared" si="30"/>
        <v>51.8</v>
      </c>
      <c r="N658" t="str">
        <f t="shared" si="31"/>
        <v>Liberica</v>
      </c>
      <c r="O658" t="str">
        <f t="shared" si="32"/>
        <v>Dark</v>
      </c>
      <c r="P658" t="str">
        <f>_xlfn.XLOOKUP(Table1[[#This Row],[Customer ID]],customers!$A$1:$A$1001,customers!$I$1:$I$1001,,0)</f>
        <v>No</v>
      </c>
    </row>
    <row r="659" spans="1:16" x14ac:dyDescent="0.25">
      <c r="A659" s="2" t="s">
        <v>4201</v>
      </c>
      <c r="B659" s="8">
        <v>43831</v>
      </c>
      <c r="C659" s="2" t="s">
        <v>4202</v>
      </c>
      <c r="D659" t="s">
        <v>6157</v>
      </c>
      <c r="E659" s="2">
        <v>2</v>
      </c>
      <c r="F659" s="2" t="str">
        <f>_xlfn.XLOOKUP(orders!C659,customers!$A$1:$A$1001,customers!$B$1:$B$1001,,0)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9">
        <f>INDEX(products!$A$1:$G$49,MATCH(orders!$D659,products!$A$1:$A$49,0),MATCH(orders!K$1,products!$A$1:$G$1,0))</f>
        <v>0.5</v>
      </c>
      <c r="L659" s="10">
        <f>INDEX(products!$A$1:$G$49,MATCH(orders!$D659,products!$A$1:$A$49,0),MATCH(orders!L$1,products!$A$1:$G$1,0))</f>
        <v>6.75</v>
      </c>
      <c r="M659" s="10">
        <f t="shared" si="30"/>
        <v>13.5</v>
      </c>
      <c r="N659" t="str">
        <f t="shared" si="31"/>
        <v>Arabica</v>
      </c>
      <c r="O659" t="str">
        <f t="shared" si="32"/>
        <v>Medium</v>
      </c>
      <c r="P659" t="str">
        <f>_xlfn.XLOOKUP(Table1[[#This Row],[Customer ID]],customers!$A$1:$A$1001,customers!$I$1:$I$1001,,0)</f>
        <v>Yes</v>
      </c>
    </row>
    <row r="660" spans="1:16" x14ac:dyDescent="0.25">
      <c r="A660" s="2" t="s">
        <v>4207</v>
      </c>
      <c r="B660" s="8">
        <v>44630</v>
      </c>
      <c r="C660" s="2" t="s">
        <v>4263</v>
      </c>
      <c r="D660" t="s">
        <v>6139</v>
      </c>
      <c r="E660" s="2">
        <v>3</v>
      </c>
      <c r="F660" s="2" t="str">
        <f>_xlfn.XLOOKUP(orders!C660,customers!$A$1:$A$1001,customers!$B$1:$B$1001,,0)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9">
        <f>INDEX(products!$A$1:$G$49,MATCH(orders!$D660,products!$A$1:$A$49,0),MATCH(orders!K$1,products!$A$1:$G$1,0))</f>
        <v>0.5</v>
      </c>
      <c r="L660" s="10">
        <f>INDEX(products!$A$1:$G$49,MATCH(orders!$D660,products!$A$1:$A$49,0),MATCH(orders!L$1,products!$A$1:$G$1,0))</f>
        <v>8.25</v>
      </c>
      <c r="M660" s="10">
        <f t="shared" si="30"/>
        <v>24.75</v>
      </c>
      <c r="N660" t="str">
        <f t="shared" si="31"/>
        <v>Excelsa</v>
      </c>
      <c r="O660" t="str">
        <f t="shared" si="32"/>
        <v>Medium</v>
      </c>
      <c r="P660" t="str">
        <f>_xlfn.XLOOKUP(Table1[[#This Row],[Customer ID]],customers!$A$1:$A$1001,customers!$I$1:$I$1001,,0)</f>
        <v>Yes</v>
      </c>
    </row>
    <row r="661" spans="1:16" x14ac:dyDescent="0.25">
      <c r="A661" s="2" t="s">
        <v>4211</v>
      </c>
      <c r="B661" s="8">
        <v>44693</v>
      </c>
      <c r="C661" s="2" t="s">
        <v>4212</v>
      </c>
      <c r="D661" t="s">
        <v>6168</v>
      </c>
      <c r="E661" s="2">
        <v>2</v>
      </c>
      <c r="F661" s="2" t="str">
        <f>_xlfn.XLOOKUP(orders!C661,customers!$A$1:$A$1001,customers!$B$1:$B$1001,,0)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9">
        <f>INDEX(products!$A$1:$G$49,MATCH(orders!$D661,products!$A$1:$A$49,0),MATCH(orders!K$1,products!$A$1:$G$1,0))</f>
        <v>2.5</v>
      </c>
      <c r="L661" s="10">
        <f>INDEX(products!$A$1:$G$49,MATCH(orders!$D661,products!$A$1:$A$49,0),MATCH(orders!L$1,products!$A$1:$G$1,0))</f>
        <v>22.884999999999998</v>
      </c>
      <c r="M661" s="10">
        <f t="shared" si="30"/>
        <v>45.769999999999996</v>
      </c>
      <c r="N661" t="str">
        <f t="shared" si="31"/>
        <v>Arabica</v>
      </c>
      <c r="O661" t="str">
        <f t="shared" si="32"/>
        <v>Dark</v>
      </c>
      <c r="P661" t="str">
        <f>_xlfn.XLOOKUP(Table1[[#This Row],[Customer ID]],customers!$A$1:$A$1001,customers!$I$1:$I$1001,,0)</f>
        <v>Yes</v>
      </c>
    </row>
    <row r="662" spans="1:16" x14ac:dyDescent="0.25">
      <c r="A662" s="2" t="s">
        <v>4217</v>
      </c>
      <c r="B662" s="8">
        <v>44084</v>
      </c>
      <c r="C662" s="2" t="s">
        <v>4218</v>
      </c>
      <c r="D662" t="s">
        <v>6176</v>
      </c>
      <c r="E662" s="2">
        <v>6</v>
      </c>
      <c r="F662" s="2" t="str">
        <f>_xlfn.XLOOKUP(orders!C662,customers!$A$1:$A$1001,customers!$B$1:$B$1001,,0)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9">
        <f>INDEX(products!$A$1:$G$49,MATCH(orders!$D662,products!$A$1:$A$49,0),MATCH(orders!K$1,products!$A$1:$G$1,0))</f>
        <v>0.5</v>
      </c>
      <c r="L662" s="10">
        <f>INDEX(products!$A$1:$G$49,MATCH(orders!$D662,products!$A$1:$A$49,0),MATCH(orders!L$1,products!$A$1:$G$1,0))</f>
        <v>8.91</v>
      </c>
      <c r="M662" s="10">
        <f t="shared" si="30"/>
        <v>53.46</v>
      </c>
      <c r="N662" t="str">
        <f t="shared" si="31"/>
        <v>Excelsa</v>
      </c>
      <c r="O662" t="str">
        <f t="shared" si="32"/>
        <v>Light</v>
      </c>
      <c r="P662" t="str">
        <f>_xlfn.XLOOKUP(Table1[[#This Row],[Customer ID]],customers!$A$1:$A$1001,customers!$I$1:$I$1001,,0)</f>
        <v>No</v>
      </c>
    </row>
    <row r="663" spans="1:16" x14ac:dyDescent="0.25">
      <c r="A663" s="2" t="s">
        <v>4223</v>
      </c>
      <c r="B663" s="8">
        <v>44485</v>
      </c>
      <c r="C663" s="2" t="s">
        <v>4224</v>
      </c>
      <c r="D663" t="s">
        <v>6152</v>
      </c>
      <c r="E663" s="2">
        <v>6</v>
      </c>
      <c r="F663" s="2" t="str">
        <f>_xlfn.XLOOKUP(orders!C663,customers!$A$1:$A$1001,customers!$B$1:$B$1001,,0)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9">
        <f>INDEX(products!$A$1:$G$49,MATCH(orders!$D663,products!$A$1:$A$49,0),MATCH(orders!K$1,products!$A$1:$G$1,0))</f>
        <v>0.2</v>
      </c>
      <c r="L663" s="10">
        <f>INDEX(products!$A$1:$G$49,MATCH(orders!$D663,products!$A$1:$A$49,0),MATCH(orders!L$1,products!$A$1:$G$1,0))</f>
        <v>3.375</v>
      </c>
      <c r="M663" s="10">
        <f t="shared" si="30"/>
        <v>20.25</v>
      </c>
      <c r="N663" t="str">
        <f t="shared" si="31"/>
        <v>Arabica</v>
      </c>
      <c r="O663" t="str">
        <f t="shared" si="32"/>
        <v>Medium</v>
      </c>
      <c r="P663" t="str">
        <f>_xlfn.XLOOKUP(Table1[[#This Row],[Customer ID]],customers!$A$1:$A$1001,customers!$I$1:$I$1001,,0)</f>
        <v>Yes</v>
      </c>
    </row>
    <row r="664" spans="1:16" x14ac:dyDescent="0.25">
      <c r="A664" s="2" t="s">
        <v>4229</v>
      </c>
      <c r="B664" s="8">
        <v>44364</v>
      </c>
      <c r="C664" s="2" t="s">
        <v>4230</v>
      </c>
      <c r="D664" t="s">
        <v>6165</v>
      </c>
      <c r="E664" s="2">
        <v>5</v>
      </c>
      <c r="F664" s="2" t="str">
        <f>_xlfn.XLOOKUP(orders!C664,customers!$A$1:$A$1001,customers!$B$1:$B$1001,,0)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9">
        <f>INDEX(products!$A$1:$G$49,MATCH(orders!$D664,products!$A$1:$A$49,0),MATCH(orders!K$1,products!$A$1:$G$1,0))</f>
        <v>2.5</v>
      </c>
      <c r="L664" s="10">
        <f>INDEX(products!$A$1:$G$49,MATCH(orders!$D664,products!$A$1:$A$49,0),MATCH(orders!L$1,products!$A$1:$G$1,0))</f>
        <v>29.784999999999997</v>
      </c>
      <c r="M664" s="10">
        <f t="shared" si="30"/>
        <v>148.92499999999998</v>
      </c>
      <c r="N664" t="str">
        <f t="shared" si="31"/>
        <v>Liberica</v>
      </c>
      <c r="O664" t="str">
        <f t="shared" si="32"/>
        <v>Dark</v>
      </c>
      <c r="P664" t="str">
        <f>_xlfn.XLOOKUP(Table1[[#This Row],[Customer ID]],customers!$A$1:$A$1001,customers!$I$1:$I$1001,,0)</f>
        <v>No</v>
      </c>
    </row>
    <row r="665" spans="1:16" x14ac:dyDescent="0.25">
      <c r="A665" s="2" t="s">
        <v>4234</v>
      </c>
      <c r="B665" s="8">
        <v>43554</v>
      </c>
      <c r="C665" s="2" t="s">
        <v>4235</v>
      </c>
      <c r="D665" t="s">
        <v>6155</v>
      </c>
      <c r="E665" s="2">
        <v>6</v>
      </c>
      <c r="F665" s="2" t="str">
        <f>_xlfn.XLOOKUP(orders!C665,customers!$A$1:$A$1001,customers!$B$1:$B$1001,,0)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9">
        <f>INDEX(products!$A$1:$G$49,MATCH(orders!$D665,products!$A$1:$A$49,0),MATCH(orders!K$1,products!$A$1:$G$1,0))</f>
        <v>1</v>
      </c>
      <c r="L665" s="10">
        <f>INDEX(products!$A$1:$G$49,MATCH(orders!$D665,products!$A$1:$A$49,0),MATCH(orders!L$1,products!$A$1:$G$1,0))</f>
        <v>11.25</v>
      </c>
      <c r="M665" s="10">
        <f t="shared" si="30"/>
        <v>67.5</v>
      </c>
      <c r="N665" t="str">
        <f t="shared" si="31"/>
        <v>Arabica</v>
      </c>
      <c r="O665" t="str">
        <f t="shared" si="32"/>
        <v>Medium</v>
      </c>
      <c r="P665" t="str">
        <f>_xlfn.XLOOKUP(Table1[[#This Row],[Customer ID]],customers!$A$1:$A$1001,customers!$I$1:$I$1001,,0)</f>
        <v>No</v>
      </c>
    </row>
    <row r="666" spans="1:16" x14ac:dyDescent="0.25">
      <c r="A666" s="2" t="s">
        <v>4239</v>
      </c>
      <c r="B666" s="8">
        <v>44549</v>
      </c>
      <c r="C666" s="2" t="s">
        <v>4240</v>
      </c>
      <c r="D666" t="s">
        <v>6183</v>
      </c>
      <c r="E666" s="2">
        <v>6</v>
      </c>
      <c r="F666" s="2" t="str">
        <f>_xlfn.XLOOKUP(orders!C666,customers!$A$1:$A$1001,customers!$B$1:$B$1001,,0)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9">
        <f>INDEX(products!$A$1:$G$49,MATCH(orders!$D666,products!$A$1:$A$49,0),MATCH(orders!K$1,products!$A$1:$G$1,0))</f>
        <v>1</v>
      </c>
      <c r="L666" s="10">
        <f>INDEX(products!$A$1:$G$49,MATCH(orders!$D666,products!$A$1:$A$49,0),MATCH(orders!L$1,products!$A$1:$G$1,0))</f>
        <v>12.15</v>
      </c>
      <c r="M666" s="10">
        <f t="shared" si="30"/>
        <v>72.900000000000006</v>
      </c>
      <c r="N666" t="str">
        <f t="shared" si="31"/>
        <v>Excelsa</v>
      </c>
      <c r="O666" t="str">
        <f t="shared" si="32"/>
        <v>Dark</v>
      </c>
      <c r="P666" t="str">
        <f>_xlfn.XLOOKUP(Table1[[#This Row],[Customer ID]],customers!$A$1:$A$1001,customers!$I$1:$I$1001,,0)</f>
        <v>No</v>
      </c>
    </row>
    <row r="667" spans="1:16" x14ac:dyDescent="0.25">
      <c r="A667" s="2" t="s">
        <v>4239</v>
      </c>
      <c r="B667" s="8">
        <v>44549</v>
      </c>
      <c r="C667" s="2" t="s">
        <v>4240</v>
      </c>
      <c r="D667" t="s">
        <v>6150</v>
      </c>
      <c r="E667" s="2">
        <v>2</v>
      </c>
      <c r="F667" s="2" t="str">
        <f>_xlfn.XLOOKUP(orders!C667,customers!$A$1:$A$1001,customers!$B$1:$B$1001,,0)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9">
        <f>INDEX(products!$A$1:$G$49,MATCH(orders!$D667,products!$A$1:$A$49,0),MATCH(orders!K$1,products!$A$1:$G$1,0))</f>
        <v>0.2</v>
      </c>
      <c r="L667" s="10">
        <f>INDEX(products!$A$1:$G$49,MATCH(orders!$D667,products!$A$1:$A$49,0),MATCH(orders!L$1,products!$A$1:$G$1,0))</f>
        <v>3.8849999999999998</v>
      </c>
      <c r="M667" s="10">
        <f t="shared" si="30"/>
        <v>7.77</v>
      </c>
      <c r="N667" t="str">
        <f t="shared" si="31"/>
        <v>Liberica</v>
      </c>
      <c r="O667" t="str">
        <f t="shared" si="32"/>
        <v>Dark</v>
      </c>
      <c r="P667" t="str">
        <f>_xlfn.XLOOKUP(Table1[[#This Row],[Customer ID]],customers!$A$1:$A$1001,customers!$I$1:$I$1001,,0)</f>
        <v>No</v>
      </c>
    </row>
    <row r="668" spans="1:16" x14ac:dyDescent="0.25">
      <c r="A668" s="2" t="s">
        <v>4250</v>
      </c>
      <c r="B668" s="8">
        <v>43987</v>
      </c>
      <c r="C668" s="2" t="s">
        <v>4251</v>
      </c>
      <c r="D668" t="s">
        <v>6168</v>
      </c>
      <c r="E668" s="2">
        <v>4</v>
      </c>
      <c r="F668" s="2" t="str">
        <f>_xlfn.XLOOKUP(orders!C668,customers!$A$1:$A$1001,customers!$B$1:$B$1001,,0)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9">
        <f>INDEX(products!$A$1:$G$49,MATCH(orders!$D668,products!$A$1:$A$49,0),MATCH(orders!K$1,products!$A$1:$G$1,0))</f>
        <v>2.5</v>
      </c>
      <c r="L668" s="10">
        <f>INDEX(products!$A$1:$G$49,MATCH(orders!$D668,products!$A$1:$A$49,0),MATCH(orders!L$1,products!$A$1:$G$1,0))</f>
        <v>22.884999999999998</v>
      </c>
      <c r="M668" s="10">
        <f t="shared" si="30"/>
        <v>91.539999999999992</v>
      </c>
      <c r="N668" t="str">
        <f t="shared" si="31"/>
        <v>Arabica</v>
      </c>
      <c r="O668" t="str">
        <f t="shared" si="32"/>
        <v>Dark</v>
      </c>
      <c r="P668" t="str">
        <f>_xlfn.XLOOKUP(Table1[[#This Row],[Customer ID]],customers!$A$1:$A$1001,customers!$I$1:$I$1001,,0)</f>
        <v>No</v>
      </c>
    </row>
    <row r="669" spans="1:16" x14ac:dyDescent="0.25">
      <c r="A669" s="2" t="s">
        <v>4256</v>
      </c>
      <c r="B669" s="8">
        <v>44451</v>
      </c>
      <c r="C669" s="2" t="s">
        <v>4257</v>
      </c>
      <c r="D669" t="s">
        <v>6147</v>
      </c>
      <c r="E669" s="2">
        <v>6</v>
      </c>
      <c r="F669" s="2" t="str">
        <f>_xlfn.XLOOKUP(orders!C669,customers!$A$1:$A$1001,customers!$B$1:$B$1001,,0)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9">
        <f>INDEX(products!$A$1:$G$49,MATCH(orders!$D669,products!$A$1:$A$49,0),MATCH(orders!K$1,products!$A$1:$G$1,0))</f>
        <v>1</v>
      </c>
      <c r="L669" s="10">
        <f>INDEX(products!$A$1:$G$49,MATCH(orders!$D669,products!$A$1:$A$49,0),MATCH(orders!L$1,products!$A$1:$G$1,0))</f>
        <v>9.9499999999999993</v>
      </c>
      <c r="M669" s="10">
        <f t="shared" si="30"/>
        <v>59.699999999999996</v>
      </c>
      <c r="N669" t="str">
        <f t="shared" si="31"/>
        <v>Arabica</v>
      </c>
      <c r="O669" t="str">
        <f t="shared" si="32"/>
        <v>Dark</v>
      </c>
      <c r="P669" t="str">
        <f>_xlfn.XLOOKUP(Table1[[#This Row],[Customer ID]],customers!$A$1:$A$1001,customers!$I$1:$I$1001,,0)</f>
        <v>No</v>
      </c>
    </row>
    <row r="670" spans="1:16" x14ac:dyDescent="0.25">
      <c r="A670" s="2" t="s">
        <v>4262</v>
      </c>
      <c r="B670" s="8">
        <v>44636</v>
      </c>
      <c r="C670" s="2" t="s">
        <v>4263</v>
      </c>
      <c r="D670" t="s">
        <v>6142</v>
      </c>
      <c r="E670" s="2">
        <v>5</v>
      </c>
      <c r="F670" s="2" t="str">
        <f>_xlfn.XLOOKUP(orders!C670,customers!$A$1:$A$1001,customers!$B$1:$B$1001,,0)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9">
        <f>INDEX(products!$A$1:$G$49,MATCH(orders!$D670,products!$A$1:$A$49,0),MATCH(orders!K$1,products!$A$1:$G$1,0))</f>
        <v>2.5</v>
      </c>
      <c r="L670" s="10">
        <f>INDEX(products!$A$1:$G$49,MATCH(orders!$D670,products!$A$1:$A$49,0),MATCH(orders!L$1,products!$A$1:$G$1,0))</f>
        <v>27.484999999999996</v>
      </c>
      <c r="M670" s="10">
        <f t="shared" si="30"/>
        <v>137.42499999999998</v>
      </c>
      <c r="N670" t="str">
        <f t="shared" si="31"/>
        <v>Robusta</v>
      </c>
      <c r="O670" t="str">
        <f t="shared" si="32"/>
        <v>Light</v>
      </c>
      <c r="P670" t="str">
        <f>_xlfn.XLOOKUP(Table1[[#This Row],[Customer ID]],customers!$A$1:$A$1001,customers!$I$1:$I$1001,,0)</f>
        <v>Yes</v>
      </c>
    </row>
    <row r="671" spans="1:16" x14ac:dyDescent="0.25">
      <c r="A671" s="2" t="s">
        <v>4268</v>
      </c>
      <c r="B671" s="8">
        <v>44551</v>
      </c>
      <c r="C671" s="2" t="s">
        <v>4269</v>
      </c>
      <c r="D671" t="s">
        <v>6181</v>
      </c>
      <c r="E671" s="2">
        <v>2</v>
      </c>
      <c r="F671" s="2" t="str">
        <f>_xlfn.XLOOKUP(orders!C671,customers!$A$1:$A$1001,customers!$B$1:$B$1001,,0)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9">
        <f>INDEX(products!$A$1:$G$49,MATCH(orders!$D671,products!$A$1:$A$49,0),MATCH(orders!K$1,products!$A$1:$G$1,0))</f>
        <v>2.5</v>
      </c>
      <c r="L671" s="10">
        <f>INDEX(products!$A$1:$G$49,MATCH(orders!$D671,products!$A$1:$A$49,0),MATCH(orders!L$1,products!$A$1:$G$1,0))</f>
        <v>33.464999999999996</v>
      </c>
      <c r="M671" s="10">
        <f t="shared" si="30"/>
        <v>66.929999999999993</v>
      </c>
      <c r="N671" t="str">
        <f t="shared" si="31"/>
        <v>Liberica</v>
      </c>
      <c r="O671" t="str">
        <f t="shared" si="32"/>
        <v>Medium</v>
      </c>
      <c r="P671" t="str">
        <f>_xlfn.XLOOKUP(Table1[[#This Row],[Customer ID]],customers!$A$1:$A$1001,customers!$I$1:$I$1001,,0)</f>
        <v>No</v>
      </c>
    </row>
    <row r="672" spans="1:16" x14ac:dyDescent="0.25">
      <c r="A672" s="2" t="s">
        <v>4274</v>
      </c>
      <c r="B672" s="8">
        <v>43606</v>
      </c>
      <c r="C672" s="2" t="s">
        <v>4275</v>
      </c>
      <c r="D672" t="s">
        <v>6159</v>
      </c>
      <c r="E672" s="2">
        <v>3</v>
      </c>
      <c r="F672" s="2" t="str">
        <f>_xlfn.XLOOKUP(orders!C672,customers!$A$1:$A$1001,customers!$B$1:$B$1001,,0)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9">
        <f>INDEX(products!$A$1:$G$49,MATCH(orders!$D672,products!$A$1:$A$49,0),MATCH(orders!K$1,products!$A$1:$G$1,0))</f>
        <v>0.2</v>
      </c>
      <c r="L672" s="10">
        <f>INDEX(products!$A$1:$G$49,MATCH(orders!$D672,products!$A$1:$A$49,0),MATCH(orders!L$1,products!$A$1:$G$1,0))</f>
        <v>4.3650000000000002</v>
      </c>
      <c r="M672" s="10">
        <f t="shared" si="30"/>
        <v>13.095000000000001</v>
      </c>
      <c r="N672" t="str">
        <f t="shared" si="31"/>
        <v>Liberica</v>
      </c>
      <c r="O672" t="str">
        <f t="shared" si="32"/>
        <v>Medium</v>
      </c>
      <c r="P672" t="str">
        <f>_xlfn.XLOOKUP(Table1[[#This Row],[Customer ID]],customers!$A$1:$A$1001,customers!$I$1:$I$1001,,0)</f>
        <v>Yes</v>
      </c>
    </row>
    <row r="673" spans="1:16" x14ac:dyDescent="0.25">
      <c r="A673" s="2" t="s">
        <v>4280</v>
      </c>
      <c r="B673" s="8">
        <v>44495</v>
      </c>
      <c r="C673" s="2" t="s">
        <v>4281</v>
      </c>
      <c r="D673" t="s">
        <v>6179</v>
      </c>
      <c r="E673" s="2">
        <v>5</v>
      </c>
      <c r="F673" s="2" t="str">
        <f>_xlfn.XLOOKUP(orders!C673,customers!$A$1:$A$1001,customers!$B$1:$B$1001,,0)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9">
        <f>INDEX(products!$A$1:$G$49,MATCH(orders!$D673,products!$A$1:$A$49,0),MATCH(orders!K$1,products!$A$1:$G$1,0))</f>
        <v>1</v>
      </c>
      <c r="L673" s="10">
        <f>INDEX(products!$A$1:$G$49,MATCH(orders!$D673,products!$A$1:$A$49,0),MATCH(orders!L$1,products!$A$1:$G$1,0))</f>
        <v>11.95</v>
      </c>
      <c r="M673" s="10">
        <f t="shared" si="30"/>
        <v>59.75</v>
      </c>
      <c r="N673" t="str">
        <f t="shared" si="31"/>
        <v>Robusta</v>
      </c>
      <c r="O673" t="str">
        <f t="shared" si="32"/>
        <v>Light</v>
      </c>
      <c r="P673" t="str">
        <f>_xlfn.XLOOKUP(Table1[[#This Row],[Customer ID]],customers!$A$1:$A$1001,customers!$I$1:$I$1001,,0)</f>
        <v>No</v>
      </c>
    </row>
    <row r="674" spans="1:16" x14ac:dyDescent="0.25">
      <c r="A674" s="2" t="s">
        <v>4286</v>
      </c>
      <c r="B674" s="8">
        <v>43916</v>
      </c>
      <c r="C674" s="2" t="s">
        <v>4287</v>
      </c>
      <c r="D674" t="s">
        <v>6160</v>
      </c>
      <c r="E674" s="2">
        <v>5</v>
      </c>
      <c r="F674" s="2" t="str">
        <f>_xlfn.XLOOKUP(orders!C674,customers!$A$1:$A$1001,customers!$B$1:$B$1001,,0)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9">
        <f>INDEX(products!$A$1:$G$49,MATCH(orders!$D674,products!$A$1:$A$49,0),MATCH(orders!K$1,products!$A$1:$G$1,0))</f>
        <v>0.5</v>
      </c>
      <c r="L674" s="10">
        <f>INDEX(products!$A$1:$G$49,MATCH(orders!$D674,products!$A$1:$A$49,0),MATCH(orders!L$1,products!$A$1:$G$1,0))</f>
        <v>8.73</v>
      </c>
      <c r="M674" s="10">
        <f t="shared" si="30"/>
        <v>43.650000000000006</v>
      </c>
      <c r="N674" t="str">
        <f t="shared" si="31"/>
        <v>Liberica</v>
      </c>
      <c r="O674" t="str">
        <f t="shared" si="32"/>
        <v>Medium</v>
      </c>
      <c r="P674" t="str">
        <f>_xlfn.XLOOKUP(Table1[[#This Row],[Customer ID]],customers!$A$1:$A$1001,customers!$I$1:$I$1001,,0)</f>
        <v>Yes</v>
      </c>
    </row>
    <row r="675" spans="1:16" x14ac:dyDescent="0.25">
      <c r="A675" s="2" t="s">
        <v>4291</v>
      </c>
      <c r="B675" s="8">
        <v>44118</v>
      </c>
      <c r="C675" s="2" t="s">
        <v>4292</v>
      </c>
      <c r="D675" t="s">
        <v>6141</v>
      </c>
      <c r="E675" s="2">
        <v>6</v>
      </c>
      <c r="F675" s="2" t="str">
        <f>_xlfn.XLOOKUP(orders!C675,customers!$A$1:$A$1001,customers!$B$1:$B$1001,,0)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9">
        <f>INDEX(products!$A$1:$G$49,MATCH(orders!$D675,products!$A$1:$A$49,0),MATCH(orders!K$1,products!$A$1:$G$1,0))</f>
        <v>1</v>
      </c>
      <c r="L675" s="10">
        <f>INDEX(products!$A$1:$G$49,MATCH(orders!$D675,products!$A$1:$A$49,0),MATCH(orders!L$1,products!$A$1:$G$1,0))</f>
        <v>13.75</v>
      </c>
      <c r="M675" s="10">
        <f t="shared" si="30"/>
        <v>82.5</v>
      </c>
      <c r="N675" t="str">
        <f t="shared" si="31"/>
        <v>Excelsa</v>
      </c>
      <c r="O675" t="str">
        <f t="shared" si="32"/>
        <v>Medium</v>
      </c>
      <c r="P675" t="str">
        <f>_xlfn.XLOOKUP(Table1[[#This Row],[Customer ID]],customers!$A$1:$A$1001,customers!$I$1:$I$1001,,0)</f>
        <v>Yes</v>
      </c>
    </row>
    <row r="676" spans="1:16" x14ac:dyDescent="0.25">
      <c r="A676" s="2" t="s">
        <v>4297</v>
      </c>
      <c r="B676" s="8">
        <v>44543</v>
      </c>
      <c r="C676" s="2" t="s">
        <v>4298</v>
      </c>
      <c r="D676" t="s">
        <v>6182</v>
      </c>
      <c r="E676" s="2">
        <v>6</v>
      </c>
      <c r="F676" s="2" t="str">
        <f>_xlfn.XLOOKUP(orders!C676,customers!$A$1:$A$1001,customers!$B$1:$B$1001,,0)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9">
        <f>INDEX(products!$A$1:$G$49,MATCH(orders!$D676,products!$A$1:$A$49,0),MATCH(orders!K$1,products!$A$1:$G$1,0))</f>
        <v>2.5</v>
      </c>
      <c r="L676" s="10">
        <f>INDEX(products!$A$1:$G$49,MATCH(orders!$D676,products!$A$1:$A$49,0),MATCH(orders!L$1,products!$A$1:$G$1,0))</f>
        <v>29.784999999999997</v>
      </c>
      <c r="M676" s="10">
        <f t="shared" si="30"/>
        <v>178.70999999999998</v>
      </c>
      <c r="N676" t="str">
        <f t="shared" si="31"/>
        <v>Arabica</v>
      </c>
      <c r="O676" t="str">
        <f t="shared" si="32"/>
        <v>Light</v>
      </c>
      <c r="P676" t="str">
        <f>_xlfn.XLOOKUP(Table1[[#This Row],[Customer ID]],customers!$A$1:$A$1001,customers!$I$1:$I$1001,,0)</f>
        <v>Yes</v>
      </c>
    </row>
    <row r="677" spans="1:16" x14ac:dyDescent="0.25">
      <c r="A677" s="2" t="s">
        <v>4303</v>
      </c>
      <c r="B677" s="8">
        <v>44263</v>
      </c>
      <c r="C677" s="2" t="s">
        <v>4304</v>
      </c>
      <c r="D677" t="s">
        <v>6165</v>
      </c>
      <c r="E677" s="2">
        <v>4</v>
      </c>
      <c r="F677" s="2" t="str">
        <f>_xlfn.XLOOKUP(orders!C677,customers!$A$1:$A$1001,customers!$B$1:$B$1001,,0)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9">
        <f>INDEX(products!$A$1:$G$49,MATCH(orders!$D677,products!$A$1:$A$49,0),MATCH(orders!K$1,products!$A$1:$G$1,0))</f>
        <v>2.5</v>
      </c>
      <c r="L677" s="10">
        <f>INDEX(products!$A$1:$G$49,MATCH(orders!$D677,products!$A$1:$A$49,0),MATCH(orders!L$1,products!$A$1:$G$1,0))</f>
        <v>29.784999999999997</v>
      </c>
      <c r="M677" s="10">
        <f t="shared" si="30"/>
        <v>119.13999999999999</v>
      </c>
      <c r="N677" t="str">
        <f t="shared" si="31"/>
        <v>Liberica</v>
      </c>
      <c r="O677" t="str">
        <f t="shared" si="32"/>
        <v>Dark</v>
      </c>
      <c r="P677" t="str">
        <f>_xlfn.XLOOKUP(Table1[[#This Row],[Customer ID]],customers!$A$1:$A$1001,customers!$I$1:$I$1001,,0)</f>
        <v>Yes</v>
      </c>
    </row>
    <row r="678" spans="1:16" x14ac:dyDescent="0.25">
      <c r="A678" s="2" t="s">
        <v>4308</v>
      </c>
      <c r="B678" s="8">
        <v>44217</v>
      </c>
      <c r="C678" s="2" t="s">
        <v>4309</v>
      </c>
      <c r="D678" t="s">
        <v>6161</v>
      </c>
      <c r="E678" s="2">
        <v>5</v>
      </c>
      <c r="F678" s="2" t="str">
        <f>_xlfn.XLOOKUP(orders!C678,customers!$A$1:$A$1001,customers!$B$1:$B$1001,,0)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9">
        <f>INDEX(products!$A$1:$G$49,MATCH(orders!$D678,products!$A$1:$A$49,0),MATCH(orders!K$1,products!$A$1:$G$1,0))</f>
        <v>0.5</v>
      </c>
      <c r="L678" s="10">
        <f>INDEX(products!$A$1:$G$49,MATCH(orders!$D678,products!$A$1:$A$49,0),MATCH(orders!L$1,products!$A$1:$G$1,0))</f>
        <v>9.51</v>
      </c>
      <c r="M678" s="10">
        <f t="shared" si="30"/>
        <v>47.55</v>
      </c>
      <c r="N678" t="str">
        <f t="shared" si="31"/>
        <v>Liberica</v>
      </c>
      <c r="O678" t="str">
        <f t="shared" si="32"/>
        <v>Light</v>
      </c>
      <c r="P678" t="str">
        <f>_xlfn.XLOOKUP(Table1[[#This Row],[Customer ID]],customers!$A$1:$A$1001,customers!$I$1:$I$1001,,0)</f>
        <v>No</v>
      </c>
    </row>
    <row r="679" spans="1:16" x14ac:dyDescent="0.25">
      <c r="A679" s="2" t="s">
        <v>4313</v>
      </c>
      <c r="B679" s="8">
        <v>44206</v>
      </c>
      <c r="C679" s="2" t="s">
        <v>4314</v>
      </c>
      <c r="D679" t="s">
        <v>6160</v>
      </c>
      <c r="E679" s="2">
        <v>5</v>
      </c>
      <c r="F679" s="2" t="str">
        <f>_xlfn.XLOOKUP(orders!C679,customers!$A$1:$A$1001,customers!$B$1:$B$1001,,0)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9">
        <f>INDEX(products!$A$1:$G$49,MATCH(orders!$D679,products!$A$1:$A$49,0),MATCH(orders!K$1,products!$A$1:$G$1,0))</f>
        <v>0.5</v>
      </c>
      <c r="L679" s="10">
        <f>INDEX(products!$A$1:$G$49,MATCH(orders!$D679,products!$A$1:$A$49,0),MATCH(orders!L$1,products!$A$1:$G$1,0))</f>
        <v>8.73</v>
      </c>
      <c r="M679" s="10">
        <f t="shared" si="30"/>
        <v>43.650000000000006</v>
      </c>
      <c r="N679" t="str">
        <f t="shared" si="31"/>
        <v>Liberica</v>
      </c>
      <c r="O679" t="str">
        <f t="shared" si="32"/>
        <v>Medium</v>
      </c>
      <c r="P679" t="str">
        <f>_xlfn.XLOOKUP(Table1[[#This Row],[Customer ID]],customers!$A$1:$A$1001,customers!$I$1:$I$1001,,0)</f>
        <v>No</v>
      </c>
    </row>
    <row r="680" spans="1:16" x14ac:dyDescent="0.25">
      <c r="A680" s="2" t="s">
        <v>4319</v>
      </c>
      <c r="B680" s="8">
        <v>44281</v>
      </c>
      <c r="C680" s="2" t="s">
        <v>4320</v>
      </c>
      <c r="D680" t="s">
        <v>6182</v>
      </c>
      <c r="E680" s="2">
        <v>6</v>
      </c>
      <c r="F680" s="2" t="str">
        <f>_xlfn.XLOOKUP(orders!C680,customers!$A$1:$A$1001,customers!$B$1:$B$1001,,0)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9">
        <f>INDEX(products!$A$1:$G$49,MATCH(orders!$D680,products!$A$1:$A$49,0),MATCH(orders!K$1,products!$A$1:$G$1,0))</f>
        <v>2.5</v>
      </c>
      <c r="L680" s="10">
        <f>INDEX(products!$A$1:$G$49,MATCH(orders!$D680,products!$A$1:$A$49,0),MATCH(orders!L$1,products!$A$1:$G$1,0))</f>
        <v>29.784999999999997</v>
      </c>
      <c r="M680" s="10">
        <f t="shared" si="30"/>
        <v>178.70999999999998</v>
      </c>
      <c r="N680" t="str">
        <f t="shared" si="31"/>
        <v>Arabica</v>
      </c>
      <c r="O680" t="str">
        <f t="shared" si="32"/>
        <v>Light</v>
      </c>
      <c r="P680" t="str">
        <f>_xlfn.XLOOKUP(Table1[[#This Row],[Customer ID]],customers!$A$1:$A$1001,customers!$I$1:$I$1001,,0)</f>
        <v>Yes</v>
      </c>
    </row>
    <row r="681" spans="1:16" x14ac:dyDescent="0.25">
      <c r="A681" s="2" t="s">
        <v>4325</v>
      </c>
      <c r="B681" s="8">
        <v>44645</v>
      </c>
      <c r="C681" s="2" t="s">
        <v>4326</v>
      </c>
      <c r="D681" t="s">
        <v>6142</v>
      </c>
      <c r="E681" s="2">
        <v>1</v>
      </c>
      <c r="F681" s="2" t="str">
        <f>_xlfn.XLOOKUP(orders!C681,customers!$A$1:$A$1001,customers!$B$1:$B$1001,,0)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9">
        <f>INDEX(products!$A$1:$G$49,MATCH(orders!$D681,products!$A$1:$A$49,0),MATCH(orders!K$1,products!$A$1:$G$1,0))</f>
        <v>2.5</v>
      </c>
      <c r="L681" s="10">
        <f>INDEX(products!$A$1:$G$49,MATCH(orders!$D681,products!$A$1:$A$49,0),MATCH(orders!L$1,products!$A$1:$G$1,0))</f>
        <v>27.484999999999996</v>
      </c>
      <c r="M681" s="10">
        <f t="shared" si="30"/>
        <v>27.484999999999996</v>
      </c>
      <c r="N681" t="str">
        <f t="shared" si="31"/>
        <v>Robusta</v>
      </c>
      <c r="O681" t="str">
        <f t="shared" si="32"/>
        <v>Light</v>
      </c>
      <c r="P681" t="str">
        <f>_xlfn.XLOOKUP(Table1[[#This Row],[Customer ID]],customers!$A$1:$A$1001,customers!$I$1:$I$1001,,0)</f>
        <v>No</v>
      </c>
    </row>
    <row r="682" spans="1:16" x14ac:dyDescent="0.25">
      <c r="A682" s="2" t="s">
        <v>4331</v>
      </c>
      <c r="B682" s="8">
        <v>44399</v>
      </c>
      <c r="C682" s="2" t="s">
        <v>4332</v>
      </c>
      <c r="D682" t="s">
        <v>6155</v>
      </c>
      <c r="E682" s="2">
        <v>5</v>
      </c>
      <c r="F682" s="2" t="str">
        <f>_xlfn.XLOOKUP(orders!C682,customers!$A$1:$A$1001,customers!$B$1:$B$1001,,0)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9">
        <f>INDEX(products!$A$1:$G$49,MATCH(orders!$D682,products!$A$1:$A$49,0),MATCH(orders!K$1,products!$A$1:$G$1,0))</f>
        <v>1</v>
      </c>
      <c r="L682" s="10">
        <f>INDEX(products!$A$1:$G$49,MATCH(orders!$D682,products!$A$1:$A$49,0),MATCH(orders!L$1,products!$A$1:$G$1,0))</f>
        <v>11.25</v>
      </c>
      <c r="M682" s="10">
        <f t="shared" si="30"/>
        <v>56.25</v>
      </c>
      <c r="N682" t="str">
        <f t="shared" si="31"/>
        <v>Arabica</v>
      </c>
      <c r="O682" t="str">
        <f t="shared" si="32"/>
        <v>Medium</v>
      </c>
      <c r="P682" t="str">
        <f>_xlfn.XLOOKUP(Table1[[#This Row],[Customer ID]],customers!$A$1:$A$1001,customers!$I$1:$I$1001,,0)</f>
        <v>No</v>
      </c>
    </row>
    <row r="683" spans="1:16" x14ac:dyDescent="0.25">
      <c r="A683" s="2" t="s">
        <v>4336</v>
      </c>
      <c r="B683" s="8">
        <v>44080</v>
      </c>
      <c r="C683" s="2" t="s">
        <v>4337</v>
      </c>
      <c r="D683" t="s">
        <v>6145</v>
      </c>
      <c r="E683" s="2">
        <v>2</v>
      </c>
      <c r="F683" s="2" t="str">
        <f>_xlfn.XLOOKUP(orders!C683,customers!$A$1:$A$1001,customers!$B$1:$B$1001,,0)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9">
        <f>INDEX(products!$A$1:$G$49,MATCH(orders!$D683,products!$A$1:$A$49,0),MATCH(orders!K$1,products!$A$1:$G$1,0))</f>
        <v>0.2</v>
      </c>
      <c r="L683" s="10">
        <f>INDEX(products!$A$1:$G$49,MATCH(orders!$D683,products!$A$1:$A$49,0),MATCH(orders!L$1,products!$A$1:$G$1,0))</f>
        <v>4.7549999999999999</v>
      </c>
      <c r="M683" s="10">
        <f t="shared" si="30"/>
        <v>9.51</v>
      </c>
      <c r="N683" t="str">
        <f t="shared" si="31"/>
        <v>Liberica</v>
      </c>
      <c r="O683" t="str">
        <f t="shared" si="32"/>
        <v>Light</v>
      </c>
      <c r="P683" t="str">
        <f>_xlfn.XLOOKUP(Table1[[#This Row],[Customer ID]],customers!$A$1:$A$1001,customers!$I$1:$I$1001,,0)</f>
        <v>Yes</v>
      </c>
    </row>
    <row r="684" spans="1:16" x14ac:dyDescent="0.25">
      <c r="A684" s="2" t="s">
        <v>4342</v>
      </c>
      <c r="B684" s="8">
        <v>43827</v>
      </c>
      <c r="C684" s="2" t="s">
        <v>4343</v>
      </c>
      <c r="D684" t="s">
        <v>6156</v>
      </c>
      <c r="E684" s="2">
        <v>2</v>
      </c>
      <c r="F684" s="2" t="str">
        <f>_xlfn.XLOOKUP(orders!C684,customers!$A$1:$A$1001,customers!$B$1:$B$1001,,0)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9">
        <f>INDEX(products!$A$1:$G$49,MATCH(orders!$D684,products!$A$1:$A$49,0),MATCH(orders!K$1,products!$A$1:$G$1,0))</f>
        <v>0.2</v>
      </c>
      <c r="L684" s="10">
        <f>INDEX(products!$A$1:$G$49,MATCH(orders!$D684,products!$A$1:$A$49,0),MATCH(orders!L$1,products!$A$1:$G$1,0))</f>
        <v>4.125</v>
      </c>
      <c r="M684" s="10">
        <f t="shared" si="30"/>
        <v>8.25</v>
      </c>
      <c r="N684" t="str">
        <f t="shared" si="31"/>
        <v>Excelsa</v>
      </c>
      <c r="O684" t="str">
        <f t="shared" si="32"/>
        <v>Medium</v>
      </c>
      <c r="P684" t="str">
        <f>_xlfn.XLOOKUP(Table1[[#This Row],[Customer ID]],customers!$A$1:$A$1001,customers!$I$1:$I$1001,,0)</f>
        <v>Yes</v>
      </c>
    </row>
    <row r="685" spans="1:16" x14ac:dyDescent="0.25">
      <c r="A685" s="2" t="s">
        <v>4348</v>
      </c>
      <c r="B685" s="8">
        <v>43941</v>
      </c>
      <c r="C685" s="2" t="s">
        <v>4349</v>
      </c>
      <c r="D685" t="s">
        <v>6169</v>
      </c>
      <c r="E685" s="2">
        <v>6</v>
      </c>
      <c r="F685" s="2" t="str">
        <f>_xlfn.XLOOKUP(orders!C685,customers!$A$1:$A$1001,customers!$B$1:$B$1001,,0)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9">
        <f>INDEX(products!$A$1:$G$49,MATCH(orders!$D685,products!$A$1:$A$49,0),MATCH(orders!K$1,products!$A$1:$G$1,0))</f>
        <v>0.5</v>
      </c>
      <c r="L685" s="10">
        <f>INDEX(products!$A$1:$G$49,MATCH(orders!$D685,products!$A$1:$A$49,0),MATCH(orders!L$1,products!$A$1:$G$1,0))</f>
        <v>7.77</v>
      </c>
      <c r="M685" s="10">
        <f t="shared" si="30"/>
        <v>46.62</v>
      </c>
      <c r="N685" t="str">
        <f t="shared" si="31"/>
        <v>Liberica</v>
      </c>
      <c r="O685" t="str">
        <f t="shared" si="32"/>
        <v>Dark</v>
      </c>
      <c r="P685" t="str">
        <f>_xlfn.XLOOKUP(Table1[[#This Row],[Customer ID]],customers!$A$1:$A$1001,customers!$I$1:$I$1001,,0)</f>
        <v>No</v>
      </c>
    </row>
    <row r="686" spans="1:16" x14ac:dyDescent="0.25">
      <c r="A686" s="2" t="s">
        <v>4354</v>
      </c>
      <c r="B686" s="8">
        <v>43517</v>
      </c>
      <c r="C686" s="2" t="s">
        <v>4355</v>
      </c>
      <c r="D686" t="s">
        <v>6179</v>
      </c>
      <c r="E686" s="2">
        <v>6</v>
      </c>
      <c r="F686" s="2" t="str">
        <f>_xlfn.XLOOKUP(orders!C686,customers!$A$1:$A$1001,customers!$B$1:$B$1001,,0)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9">
        <f>INDEX(products!$A$1:$G$49,MATCH(orders!$D686,products!$A$1:$A$49,0),MATCH(orders!K$1,products!$A$1:$G$1,0))</f>
        <v>1</v>
      </c>
      <c r="L686" s="10">
        <f>INDEX(products!$A$1:$G$49,MATCH(orders!$D686,products!$A$1:$A$49,0),MATCH(orders!L$1,products!$A$1:$G$1,0))</f>
        <v>11.95</v>
      </c>
      <c r="M686" s="10">
        <f t="shared" si="30"/>
        <v>71.699999999999989</v>
      </c>
      <c r="N686" t="str">
        <f t="shared" si="31"/>
        <v>Robusta</v>
      </c>
      <c r="O686" t="str">
        <f t="shared" si="32"/>
        <v>Light</v>
      </c>
      <c r="P686" t="str">
        <f>_xlfn.XLOOKUP(Table1[[#This Row],[Customer ID]],customers!$A$1:$A$1001,customers!$I$1:$I$1001,,0)</f>
        <v>No</v>
      </c>
    </row>
    <row r="687" spans="1:16" x14ac:dyDescent="0.25">
      <c r="A687" s="2" t="s">
        <v>4359</v>
      </c>
      <c r="B687" s="8">
        <v>44637</v>
      </c>
      <c r="C687" s="2" t="s">
        <v>4360</v>
      </c>
      <c r="D687" t="s">
        <v>6164</v>
      </c>
      <c r="E687" s="2">
        <v>2</v>
      </c>
      <c r="F687" s="2" t="str">
        <f>_xlfn.XLOOKUP(orders!C687,customers!$A$1:$A$1001,customers!$B$1:$B$1001,,0)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9">
        <f>INDEX(products!$A$1:$G$49,MATCH(orders!$D687,products!$A$1:$A$49,0),MATCH(orders!K$1,products!$A$1:$G$1,0))</f>
        <v>2.5</v>
      </c>
      <c r="L687" s="10">
        <f>INDEX(products!$A$1:$G$49,MATCH(orders!$D687,products!$A$1:$A$49,0),MATCH(orders!L$1,products!$A$1:$G$1,0))</f>
        <v>36.454999999999998</v>
      </c>
      <c r="M687" s="10">
        <f t="shared" si="30"/>
        <v>72.91</v>
      </c>
      <c r="N687" t="str">
        <f t="shared" si="31"/>
        <v>Liberica</v>
      </c>
      <c r="O687" t="str">
        <f t="shared" si="32"/>
        <v>Light</v>
      </c>
      <c r="P687" t="str">
        <f>_xlfn.XLOOKUP(Table1[[#This Row],[Customer ID]],customers!$A$1:$A$1001,customers!$I$1:$I$1001,,0)</f>
        <v>Yes</v>
      </c>
    </row>
    <row r="688" spans="1:16" x14ac:dyDescent="0.25">
      <c r="A688" s="2" t="s">
        <v>4365</v>
      </c>
      <c r="B688" s="8">
        <v>44330</v>
      </c>
      <c r="C688" s="2" t="s">
        <v>4366</v>
      </c>
      <c r="D688" t="s">
        <v>6163</v>
      </c>
      <c r="E688" s="2">
        <v>3</v>
      </c>
      <c r="F688" s="2" t="str">
        <f>_xlfn.XLOOKUP(orders!C688,customers!$A$1:$A$1001,customers!$B$1:$B$1001,,0)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9">
        <f>INDEX(products!$A$1:$G$49,MATCH(orders!$D688,products!$A$1:$A$49,0),MATCH(orders!K$1,products!$A$1:$G$1,0))</f>
        <v>0.2</v>
      </c>
      <c r="L688" s="10">
        <f>INDEX(products!$A$1:$G$49,MATCH(orders!$D688,products!$A$1:$A$49,0),MATCH(orders!L$1,products!$A$1:$G$1,0))</f>
        <v>2.6849999999999996</v>
      </c>
      <c r="M688" s="10">
        <f t="shared" si="30"/>
        <v>8.0549999999999997</v>
      </c>
      <c r="N688" t="str">
        <f t="shared" si="31"/>
        <v>Robusta</v>
      </c>
      <c r="O688" t="str">
        <f t="shared" si="32"/>
        <v>Dark</v>
      </c>
      <c r="P688" t="str">
        <f>_xlfn.XLOOKUP(Table1[[#This Row],[Customer ID]],customers!$A$1:$A$1001,customers!$I$1:$I$1001,,0)</f>
        <v>Yes</v>
      </c>
    </row>
    <row r="689" spans="1:16" x14ac:dyDescent="0.25">
      <c r="A689" s="2" t="s">
        <v>4371</v>
      </c>
      <c r="B689" s="8">
        <v>43471</v>
      </c>
      <c r="C689" s="2" t="s">
        <v>4372</v>
      </c>
      <c r="D689" t="s">
        <v>6139</v>
      </c>
      <c r="E689" s="2">
        <v>2</v>
      </c>
      <c r="F689" s="2" t="str">
        <f>_xlfn.XLOOKUP(orders!C689,customers!$A$1:$A$1001,customers!$B$1:$B$1001,,0)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9">
        <f>INDEX(products!$A$1:$G$49,MATCH(orders!$D689,products!$A$1:$A$49,0),MATCH(orders!K$1,products!$A$1:$G$1,0))</f>
        <v>0.5</v>
      </c>
      <c r="L689" s="10">
        <f>INDEX(products!$A$1:$G$49,MATCH(orders!$D689,products!$A$1:$A$49,0),MATCH(orders!L$1,products!$A$1:$G$1,0))</f>
        <v>8.25</v>
      </c>
      <c r="M689" s="10">
        <f t="shared" si="30"/>
        <v>16.5</v>
      </c>
      <c r="N689" t="str">
        <f t="shared" si="31"/>
        <v>Excelsa</v>
      </c>
      <c r="O689" t="str">
        <f t="shared" si="32"/>
        <v>Medium</v>
      </c>
      <c r="P689" t="str">
        <f>_xlfn.XLOOKUP(Table1[[#This Row],[Customer ID]],customers!$A$1:$A$1001,customers!$I$1:$I$1001,,0)</f>
        <v>No</v>
      </c>
    </row>
    <row r="690" spans="1:16" x14ac:dyDescent="0.25">
      <c r="A690" s="2" t="s">
        <v>4377</v>
      </c>
      <c r="B690" s="8">
        <v>43579</v>
      </c>
      <c r="C690" s="2" t="s">
        <v>4378</v>
      </c>
      <c r="D690" t="s">
        <v>6140</v>
      </c>
      <c r="E690" s="2">
        <v>5</v>
      </c>
      <c r="F690" s="2" t="str">
        <f>_xlfn.XLOOKUP(orders!C690,customers!$A$1:$A$1001,customers!$B$1:$B$1001,,0)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9">
        <f>INDEX(products!$A$1:$G$49,MATCH(orders!$D690,products!$A$1:$A$49,0),MATCH(orders!K$1,products!$A$1:$G$1,0))</f>
        <v>1</v>
      </c>
      <c r="L690" s="10">
        <f>INDEX(products!$A$1:$G$49,MATCH(orders!$D690,products!$A$1:$A$49,0),MATCH(orders!L$1,products!$A$1:$G$1,0))</f>
        <v>12.95</v>
      </c>
      <c r="M690" s="10">
        <f t="shared" si="30"/>
        <v>64.75</v>
      </c>
      <c r="N690" t="str">
        <f t="shared" si="31"/>
        <v>Arabica</v>
      </c>
      <c r="O690" t="str">
        <f t="shared" si="32"/>
        <v>Light</v>
      </c>
      <c r="P690" t="str">
        <f>_xlfn.XLOOKUP(Table1[[#This Row],[Customer ID]],customers!$A$1:$A$1001,customers!$I$1:$I$1001,,0)</f>
        <v>No</v>
      </c>
    </row>
    <row r="691" spans="1:16" x14ac:dyDescent="0.25">
      <c r="A691" s="2" t="s">
        <v>4383</v>
      </c>
      <c r="B691" s="8">
        <v>44346</v>
      </c>
      <c r="C691" s="2" t="s">
        <v>4384</v>
      </c>
      <c r="D691" t="s">
        <v>6157</v>
      </c>
      <c r="E691" s="2">
        <v>5</v>
      </c>
      <c r="F691" s="2" t="str">
        <f>_xlfn.XLOOKUP(orders!C691,customers!$A$1:$A$1001,customers!$B$1:$B$1001,,0)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9">
        <f>INDEX(products!$A$1:$G$49,MATCH(orders!$D691,products!$A$1:$A$49,0),MATCH(orders!K$1,products!$A$1:$G$1,0))</f>
        <v>0.5</v>
      </c>
      <c r="L691" s="10">
        <f>INDEX(products!$A$1:$G$49,MATCH(orders!$D691,products!$A$1:$A$49,0),MATCH(orders!L$1,products!$A$1:$G$1,0))</f>
        <v>6.75</v>
      </c>
      <c r="M691" s="10">
        <f t="shared" si="30"/>
        <v>33.75</v>
      </c>
      <c r="N691" t="str">
        <f t="shared" si="31"/>
        <v>Arabica</v>
      </c>
      <c r="O691" t="str">
        <f t="shared" si="32"/>
        <v>Medium</v>
      </c>
      <c r="P691" t="str">
        <f>_xlfn.XLOOKUP(Table1[[#This Row],[Customer ID]],customers!$A$1:$A$1001,customers!$I$1:$I$1001,,0)</f>
        <v>No</v>
      </c>
    </row>
    <row r="692" spans="1:16" x14ac:dyDescent="0.25">
      <c r="A692" s="2" t="s">
        <v>4389</v>
      </c>
      <c r="B692" s="8">
        <v>44754</v>
      </c>
      <c r="C692" s="2" t="s">
        <v>4390</v>
      </c>
      <c r="D692" t="s">
        <v>6165</v>
      </c>
      <c r="E692" s="2">
        <v>6</v>
      </c>
      <c r="F692" s="2" t="str">
        <f>_xlfn.XLOOKUP(orders!C692,customers!$A$1:$A$1001,customers!$B$1:$B$1001,,0)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9">
        <f>INDEX(products!$A$1:$G$49,MATCH(orders!$D692,products!$A$1:$A$49,0),MATCH(orders!K$1,products!$A$1:$G$1,0))</f>
        <v>2.5</v>
      </c>
      <c r="L692" s="10">
        <f>INDEX(products!$A$1:$G$49,MATCH(orders!$D692,products!$A$1:$A$49,0),MATCH(orders!L$1,products!$A$1:$G$1,0))</f>
        <v>29.784999999999997</v>
      </c>
      <c r="M692" s="10">
        <f t="shared" si="30"/>
        <v>178.70999999999998</v>
      </c>
      <c r="N692" t="str">
        <f t="shared" si="31"/>
        <v>Liberica</v>
      </c>
      <c r="O692" t="str">
        <f t="shared" si="32"/>
        <v>Dark</v>
      </c>
      <c r="P692" t="str">
        <f>_xlfn.XLOOKUP(Table1[[#This Row],[Customer ID]],customers!$A$1:$A$1001,customers!$I$1:$I$1001,,0)</f>
        <v>No</v>
      </c>
    </row>
    <row r="693" spans="1:16" x14ac:dyDescent="0.25">
      <c r="A693" s="2" t="s">
        <v>4393</v>
      </c>
      <c r="B693" s="8">
        <v>44227</v>
      </c>
      <c r="C693" s="2" t="s">
        <v>4434</v>
      </c>
      <c r="D693" t="s">
        <v>6155</v>
      </c>
      <c r="E693" s="2">
        <v>2</v>
      </c>
      <c r="F693" s="2" t="str">
        <f>_xlfn.XLOOKUP(orders!C693,customers!$A$1:$A$1001,customers!$B$1:$B$1001,,0)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9">
        <f>INDEX(products!$A$1:$G$49,MATCH(orders!$D693,products!$A$1:$A$49,0),MATCH(orders!K$1,products!$A$1:$G$1,0))</f>
        <v>1</v>
      </c>
      <c r="L693" s="10">
        <f>INDEX(products!$A$1:$G$49,MATCH(orders!$D693,products!$A$1:$A$49,0),MATCH(orders!L$1,products!$A$1:$G$1,0))</f>
        <v>11.25</v>
      </c>
      <c r="M693" s="10">
        <f t="shared" si="30"/>
        <v>22.5</v>
      </c>
      <c r="N693" t="str">
        <f t="shared" si="31"/>
        <v>Arabica</v>
      </c>
      <c r="O693" t="str">
        <f t="shared" si="32"/>
        <v>Medium</v>
      </c>
      <c r="P693" t="str">
        <f>_xlfn.XLOOKUP(Table1[[#This Row],[Customer ID]],customers!$A$1:$A$1001,customers!$I$1:$I$1001,,0)</f>
        <v>No</v>
      </c>
    </row>
    <row r="694" spans="1:16" x14ac:dyDescent="0.25">
      <c r="A694" s="2" t="s">
        <v>4399</v>
      </c>
      <c r="B694" s="8">
        <v>43720</v>
      </c>
      <c r="C694" s="2" t="s">
        <v>4400</v>
      </c>
      <c r="D694" t="s">
        <v>6143</v>
      </c>
      <c r="E694" s="2">
        <v>1</v>
      </c>
      <c r="F694" s="2" t="str">
        <f>_xlfn.XLOOKUP(orders!C694,customers!$A$1:$A$1001,customers!$B$1:$B$1001,,0)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9">
        <f>INDEX(products!$A$1:$G$49,MATCH(orders!$D694,products!$A$1:$A$49,0),MATCH(orders!K$1,products!$A$1:$G$1,0))</f>
        <v>1</v>
      </c>
      <c r="L694" s="10">
        <f>INDEX(products!$A$1:$G$49,MATCH(orders!$D694,products!$A$1:$A$49,0),MATCH(orders!L$1,products!$A$1:$G$1,0))</f>
        <v>12.95</v>
      </c>
      <c r="M694" s="10">
        <f t="shared" si="30"/>
        <v>12.95</v>
      </c>
      <c r="N694" t="str">
        <f t="shared" si="31"/>
        <v>Liberica</v>
      </c>
      <c r="O694" t="str">
        <f t="shared" si="32"/>
        <v>Dark</v>
      </c>
      <c r="P694" t="str">
        <f>_xlfn.XLOOKUP(Table1[[#This Row],[Customer ID]],customers!$A$1:$A$1001,customers!$I$1:$I$1001,,0)</f>
        <v>No</v>
      </c>
    </row>
    <row r="695" spans="1:16" x14ac:dyDescent="0.25">
      <c r="A695" s="2" t="s">
        <v>4405</v>
      </c>
      <c r="B695" s="8">
        <v>44012</v>
      </c>
      <c r="C695" s="2" t="s">
        <v>4406</v>
      </c>
      <c r="D695" t="s">
        <v>6175</v>
      </c>
      <c r="E695" s="2">
        <v>2</v>
      </c>
      <c r="F695" s="2" t="str">
        <f>_xlfn.XLOOKUP(orders!C695,customers!$A$1:$A$1001,customers!$B$1:$B$1001,,0)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9">
        <f>INDEX(products!$A$1:$G$49,MATCH(orders!$D695,products!$A$1:$A$49,0),MATCH(orders!K$1,products!$A$1:$G$1,0))</f>
        <v>2.5</v>
      </c>
      <c r="L695" s="10">
        <f>INDEX(products!$A$1:$G$49,MATCH(orders!$D695,products!$A$1:$A$49,0),MATCH(orders!L$1,products!$A$1:$G$1,0))</f>
        <v>25.874999999999996</v>
      </c>
      <c r="M695" s="10">
        <f t="shared" si="30"/>
        <v>51.749999999999993</v>
      </c>
      <c r="N695" t="str">
        <f t="shared" si="31"/>
        <v>Arabica</v>
      </c>
      <c r="O695" t="str">
        <f t="shared" si="32"/>
        <v>Medium</v>
      </c>
      <c r="P695" t="str">
        <f>_xlfn.XLOOKUP(Table1[[#This Row],[Customer ID]],customers!$A$1:$A$1001,customers!$I$1:$I$1001,,0)</f>
        <v>Yes</v>
      </c>
    </row>
    <row r="696" spans="1:16" x14ac:dyDescent="0.25">
      <c r="A696" s="2" t="s">
        <v>4411</v>
      </c>
      <c r="B696" s="8">
        <v>43915</v>
      </c>
      <c r="C696" s="2" t="s">
        <v>4412</v>
      </c>
      <c r="D696" t="s">
        <v>6144</v>
      </c>
      <c r="E696" s="2">
        <v>5</v>
      </c>
      <c r="F696" s="2" t="str">
        <f>_xlfn.XLOOKUP(orders!C696,customers!$A$1:$A$1001,customers!$B$1:$B$1001,,0)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9">
        <f>INDEX(products!$A$1:$G$49,MATCH(orders!$D696,products!$A$1:$A$49,0),MATCH(orders!K$1,products!$A$1:$G$1,0))</f>
        <v>0.5</v>
      </c>
      <c r="L696" s="10">
        <f>INDEX(products!$A$1:$G$49,MATCH(orders!$D696,products!$A$1:$A$49,0),MATCH(orders!L$1,products!$A$1:$G$1,0))</f>
        <v>7.29</v>
      </c>
      <c r="M696" s="10">
        <f t="shared" si="30"/>
        <v>36.450000000000003</v>
      </c>
      <c r="N696" t="str">
        <f t="shared" si="31"/>
        <v>Excelsa</v>
      </c>
      <c r="O696" t="str">
        <f t="shared" si="32"/>
        <v>Dark</v>
      </c>
      <c r="P696" t="str">
        <f>_xlfn.XLOOKUP(Table1[[#This Row],[Customer ID]],customers!$A$1:$A$1001,customers!$I$1:$I$1001,,0)</f>
        <v>No</v>
      </c>
    </row>
    <row r="697" spans="1:16" x14ac:dyDescent="0.25">
      <c r="A697" s="2" t="s">
        <v>4417</v>
      </c>
      <c r="B697" s="8">
        <v>44300</v>
      </c>
      <c r="C697" s="2" t="s">
        <v>4418</v>
      </c>
      <c r="D697" t="s">
        <v>6164</v>
      </c>
      <c r="E697" s="2">
        <v>5</v>
      </c>
      <c r="F697" s="2" t="str">
        <f>_xlfn.XLOOKUP(orders!C697,customers!$A$1:$A$1001,customers!$B$1:$B$1001,,0)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9">
        <f>INDEX(products!$A$1:$G$49,MATCH(orders!$D697,products!$A$1:$A$49,0),MATCH(orders!K$1,products!$A$1:$G$1,0))</f>
        <v>2.5</v>
      </c>
      <c r="L697" s="10">
        <f>INDEX(products!$A$1:$G$49,MATCH(orders!$D697,products!$A$1:$A$49,0),MATCH(orders!L$1,products!$A$1:$G$1,0))</f>
        <v>36.454999999999998</v>
      </c>
      <c r="M697" s="10">
        <f t="shared" si="30"/>
        <v>182.27499999999998</v>
      </c>
      <c r="N697" t="str">
        <f t="shared" si="31"/>
        <v>Liberica</v>
      </c>
      <c r="O697" t="str">
        <f t="shared" si="32"/>
        <v>Light</v>
      </c>
      <c r="P697" t="str">
        <f>_xlfn.XLOOKUP(Table1[[#This Row],[Customer ID]],customers!$A$1:$A$1001,customers!$I$1:$I$1001,,0)</f>
        <v>Yes</v>
      </c>
    </row>
    <row r="698" spans="1:16" x14ac:dyDescent="0.25">
      <c r="A698" s="2" t="s">
        <v>4423</v>
      </c>
      <c r="B698" s="8">
        <v>43693</v>
      </c>
      <c r="C698" s="2" t="s">
        <v>4424</v>
      </c>
      <c r="D698" t="s">
        <v>6169</v>
      </c>
      <c r="E698" s="2">
        <v>4</v>
      </c>
      <c r="F698" s="2" t="str">
        <f>_xlfn.XLOOKUP(orders!C698,customers!$A$1:$A$1001,customers!$B$1:$B$1001,,0)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9">
        <f>INDEX(products!$A$1:$G$49,MATCH(orders!$D698,products!$A$1:$A$49,0),MATCH(orders!K$1,products!$A$1:$G$1,0))</f>
        <v>0.5</v>
      </c>
      <c r="L698" s="10">
        <f>INDEX(products!$A$1:$G$49,MATCH(orders!$D698,products!$A$1:$A$49,0),MATCH(orders!L$1,products!$A$1:$G$1,0))</f>
        <v>7.77</v>
      </c>
      <c r="M698" s="10">
        <f t="shared" si="30"/>
        <v>31.08</v>
      </c>
      <c r="N698" t="str">
        <f t="shared" si="31"/>
        <v>Liberica</v>
      </c>
      <c r="O698" t="str">
        <f t="shared" si="32"/>
        <v>Dark</v>
      </c>
      <c r="P698" t="str">
        <f>_xlfn.XLOOKUP(Table1[[#This Row],[Customer ID]],customers!$A$1:$A$1001,customers!$I$1:$I$1001,,0)</f>
        <v>No</v>
      </c>
    </row>
    <row r="699" spans="1:16" x14ac:dyDescent="0.25">
      <c r="A699" s="2" t="s">
        <v>4429</v>
      </c>
      <c r="B699" s="8">
        <v>44547</v>
      </c>
      <c r="C699" s="2" t="s">
        <v>4430</v>
      </c>
      <c r="D699" t="s">
        <v>6157</v>
      </c>
      <c r="E699" s="2">
        <v>3</v>
      </c>
      <c r="F699" s="2" t="str">
        <f>_xlfn.XLOOKUP(orders!C699,customers!$A$1:$A$1001,customers!$B$1:$B$1001,,0)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9">
        <f>INDEX(products!$A$1:$G$49,MATCH(orders!$D699,products!$A$1:$A$49,0),MATCH(orders!K$1,products!$A$1:$G$1,0))</f>
        <v>0.5</v>
      </c>
      <c r="L699" s="10">
        <f>INDEX(products!$A$1:$G$49,MATCH(orders!$D699,products!$A$1:$A$49,0),MATCH(orders!L$1,products!$A$1:$G$1,0))</f>
        <v>6.75</v>
      </c>
      <c r="M699" s="10">
        <f t="shared" si="30"/>
        <v>20.25</v>
      </c>
      <c r="N699" t="str">
        <f t="shared" si="31"/>
        <v>Arabica</v>
      </c>
      <c r="O699" t="str">
        <f t="shared" si="32"/>
        <v>Medium</v>
      </c>
      <c r="P699" t="str">
        <f>_xlfn.XLOOKUP(Table1[[#This Row],[Customer ID]],customers!$A$1:$A$1001,customers!$I$1:$I$1001,,0)</f>
        <v>No</v>
      </c>
    </row>
    <row r="700" spans="1:16" x14ac:dyDescent="0.25">
      <c r="A700" s="2" t="s">
        <v>4433</v>
      </c>
      <c r="B700" s="8">
        <v>43830</v>
      </c>
      <c r="C700" s="2" t="s">
        <v>4434</v>
      </c>
      <c r="D700" t="s">
        <v>6143</v>
      </c>
      <c r="E700" s="2">
        <v>2</v>
      </c>
      <c r="F700" s="2" t="str">
        <f>_xlfn.XLOOKUP(orders!C700,customers!$A$1:$A$1001,customers!$B$1:$B$1001,,0)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9">
        <f>INDEX(products!$A$1:$G$49,MATCH(orders!$D700,products!$A$1:$A$49,0),MATCH(orders!K$1,products!$A$1:$G$1,0))</f>
        <v>1</v>
      </c>
      <c r="L700" s="10">
        <f>INDEX(products!$A$1:$G$49,MATCH(orders!$D700,products!$A$1:$A$49,0),MATCH(orders!L$1,products!$A$1:$G$1,0))</f>
        <v>12.95</v>
      </c>
      <c r="M700" s="10">
        <f t="shared" si="30"/>
        <v>25.9</v>
      </c>
      <c r="N700" t="str">
        <f t="shared" si="31"/>
        <v>Liberica</v>
      </c>
      <c r="O700" t="str">
        <f t="shared" si="32"/>
        <v>Dark</v>
      </c>
      <c r="P700" t="str">
        <f>_xlfn.XLOOKUP(Table1[[#This Row],[Customer ID]],customers!$A$1:$A$1001,customers!$I$1:$I$1001,,0)</f>
        <v>No</v>
      </c>
    </row>
    <row r="701" spans="1:16" x14ac:dyDescent="0.25">
      <c r="A701" s="2" t="s">
        <v>4439</v>
      </c>
      <c r="B701" s="8">
        <v>44298</v>
      </c>
      <c r="C701" s="2" t="s">
        <v>4440</v>
      </c>
      <c r="D701" t="s">
        <v>6158</v>
      </c>
      <c r="E701" s="2">
        <v>4</v>
      </c>
      <c r="F701" s="2" t="str">
        <f>_xlfn.XLOOKUP(orders!C701,customers!$A$1:$A$1001,customers!$B$1:$B$1001,,0)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9">
        <f>INDEX(products!$A$1:$G$49,MATCH(orders!$D701,products!$A$1:$A$49,0),MATCH(orders!K$1,products!$A$1:$G$1,0))</f>
        <v>0.5</v>
      </c>
      <c r="L701" s="10">
        <f>INDEX(products!$A$1:$G$49,MATCH(orders!$D701,products!$A$1:$A$49,0),MATCH(orders!L$1,products!$A$1:$G$1,0))</f>
        <v>5.97</v>
      </c>
      <c r="M701" s="10">
        <f t="shared" si="30"/>
        <v>23.88</v>
      </c>
      <c r="N701" t="str">
        <f t="shared" si="31"/>
        <v>Arabica</v>
      </c>
      <c r="O701" t="str">
        <f t="shared" si="32"/>
        <v>Dark</v>
      </c>
      <c r="P701" t="str">
        <f>_xlfn.XLOOKUP(Table1[[#This Row],[Customer ID]],customers!$A$1:$A$1001,customers!$I$1:$I$1001,,0)</f>
        <v>Yes</v>
      </c>
    </row>
    <row r="702" spans="1:16" x14ac:dyDescent="0.25">
      <c r="A702" s="2" t="s">
        <v>4445</v>
      </c>
      <c r="B702" s="8">
        <v>43736</v>
      </c>
      <c r="C702" s="2" t="s">
        <v>4446</v>
      </c>
      <c r="D702" t="s">
        <v>6161</v>
      </c>
      <c r="E702" s="2">
        <v>2</v>
      </c>
      <c r="F702" s="2" t="str">
        <f>_xlfn.XLOOKUP(orders!C702,customers!$A$1:$A$1001,customers!$B$1:$B$1001,,0)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9">
        <f>INDEX(products!$A$1:$G$49,MATCH(orders!$D702,products!$A$1:$A$49,0),MATCH(orders!K$1,products!$A$1:$G$1,0))</f>
        <v>0.5</v>
      </c>
      <c r="L702" s="10">
        <f>INDEX(products!$A$1:$G$49,MATCH(orders!$D702,products!$A$1:$A$49,0),MATCH(orders!L$1,products!$A$1:$G$1,0))</f>
        <v>9.51</v>
      </c>
      <c r="M702" s="10">
        <f t="shared" si="30"/>
        <v>19.02</v>
      </c>
      <c r="N702" t="str">
        <f t="shared" si="31"/>
        <v>Liberica</v>
      </c>
      <c r="O702" t="str">
        <f t="shared" si="32"/>
        <v>Light</v>
      </c>
      <c r="P702" t="str">
        <f>_xlfn.XLOOKUP(Table1[[#This Row],[Customer ID]],customers!$A$1:$A$1001,customers!$I$1:$I$1001,,0)</f>
        <v>No</v>
      </c>
    </row>
    <row r="703" spans="1:16" x14ac:dyDescent="0.25">
      <c r="A703" s="2" t="s">
        <v>4450</v>
      </c>
      <c r="B703" s="8">
        <v>44727</v>
      </c>
      <c r="C703" s="2" t="s">
        <v>4451</v>
      </c>
      <c r="D703" t="s">
        <v>6158</v>
      </c>
      <c r="E703" s="2">
        <v>5</v>
      </c>
      <c r="F703" s="2" t="str">
        <f>_xlfn.XLOOKUP(orders!C703,customers!$A$1:$A$1001,customers!$B$1:$B$1001,,0)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9">
        <f>INDEX(products!$A$1:$G$49,MATCH(orders!$D703,products!$A$1:$A$49,0),MATCH(orders!K$1,products!$A$1:$G$1,0))</f>
        <v>0.5</v>
      </c>
      <c r="L703" s="10">
        <f>INDEX(products!$A$1:$G$49,MATCH(orders!$D703,products!$A$1:$A$49,0),MATCH(orders!L$1,products!$A$1:$G$1,0))</f>
        <v>5.97</v>
      </c>
      <c r="M703" s="10">
        <f t="shared" si="30"/>
        <v>29.849999999999998</v>
      </c>
      <c r="N703" t="str">
        <f t="shared" si="31"/>
        <v>Arabica</v>
      </c>
      <c r="O703" t="str">
        <f t="shared" si="32"/>
        <v>Dark</v>
      </c>
      <c r="P703" t="str">
        <f>_xlfn.XLOOKUP(Table1[[#This Row],[Customer ID]],customers!$A$1:$A$1001,customers!$I$1:$I$1001,,0)</f>
        <v>Yes</v>
      </c>
    </row>
    <row r="704" spans="1:16" x14ac:dyDescent="0.25">
      <c r="A704" s="2" t="s">
        <v>4456</v>
      </c>
      <c r="B704" s="8">
        <v>43661</v>
      </c>
      <c r="C704" s="2" t="s">
        <v>4457</v>
      </c>
      <c r="D704" t="s">
        <v>6180</v>
      </c>
      <c r="E704" s="2">
        <v>1</v>
      </c>
      <c r="F704" s="2" t="str">
        <f>_xlfn.XLOOKUP(orders!C704,customers!$A$1:$A$1001,customers!$B$1:$B$1001,,0)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9">
        <f>INDEX(products!$A$1:$G$49,MATCH(orders!$D704,products!$A$1:$A$49,0),MATCH(orders!K$1,products!$A$1:$G$1,0))</f>
        <v>0.5</v>
      </c>
      <c r="L704" s="10">
        <f>INDEX(products!$A$1:$G$49,MATCH(orders!$D704,products!$A$1:$A$49,0),MATCH(orders!L$1,products!$A$1:$G$1,0))</f>
        <v>7.77</v>
      </c>
      <c r="M704" s="10">
        <f t="shared" si="30"/>
        <v>7.77</v>
      </c>
      <c r="N704" t="str">
        <f t="shared" si="31"/>
        <v>Arabica</v>
      </c>
      <c r="O704" t="str">
        <f t="shared" si="32"/>
        <v>Light</v>
      </c>
      <c r="P704" t="str">
        <f>_xlfn.XLOOKUP(Table1[[#This Row],[Customer ID]],customers!$A$1:$A$1001,customers!$I$1:$I$1001,,0)</f>
        <v>Yes</v>
      </c>
    </row>
    <row r="705" spans="1:16" x14ac:dyDescent="0.25">
      <c r="A705" s="2" t="s">
        <v>4461</v>
      </c>
      <c r="B705" s="8">
        <v>43506</v>
      </c>
      <c r="C705" s="2" t="s">
        <v>4462</v>
      </c>
      <c r="D705" t="s">
        <v>6165</v>
      </c>
      <c r="E705" s="2">
        <v>4</v>
      </c>
      <c r="F705" s="2" t="str">
        <f>_xlfn.XLOOKUP(orders!C705,customers!$A$1:$A$1001,customers!$B$1:$B$1001,,0)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9">
        <f>INDEX(products!$A$1:$G$49,MATCH(orders!$D705,products!$A$1:$A$49,0),MATCH(orders!K$1,products!$A$1:$G$1,0))</f>
        <v>2.5</v>
      </c>
      <c r="L705" s="10">
        <f>INDEX(products!$A$1:$G$49,MATCH(orders!$D705,products!$A$1:$A$49,0),MATCH(orders!L$1,products!$A$1:$G$1,0))</f>
        <v>29.784999999999997</v>
      </c>
      <c r="M705" s="10">
        <f t="shared" si="30"/>
        <v>119.13999999999999</v>
      </c>
      <c r="N705" t="str">
        <f t="shared" si="31"/>
        <v>Liberica</v>
      </c>
      <c r="O705" t="str">
        <f t="shared" si="32"/>
        <v>Dark</v>
      </c>
      <c r="P705" t="str">
        <f>_xlfn.XLOOKUP(Table1[[#This Row],[Customer ID]],customers!$A$1:$A$1001,customers!$I$1:$I$1001,,0)</f>
        <v>Yes</v>
      </c>
    </row>
    <row r="706" spans="1:16" x14ac:dyDescent="0.25">
      <c r="A706" s="2" t="s">
        <v>4466</v>
      </c>
      <c r="B706" s="8">
        <v>44716</v>
      </c>
      <c r="C706" s="2" t="s">
        <v>4467</v>
      </c>
      <c r="D706" t="s">
        <v>6153</v>
      </c>
      <c r="E706" s="2">
        <v>6</v>
      </c>
      <c r="F706" s="2" t="str">
        <f>_xlfn.XLOOKUP(orders!C706,customers!$A$1:$A$1001,customers!$B$1:$B$1001,,0)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9">
        <f>INDEX(products!$A$1:$G$49,MATCH(orders!$D706,products!$A$1:$A$49,0),MATCH(orders!K$1,products!$A$1:$G$1,0))</f>
        <v>0.2</v>
      </c>
      <c r="L706" s="10">
        <f>INDEX(products!$A$1:$G$49,MATCH(orders!$D706,products!$A$1:$A$49,0),MATCH(orders!L$1,products!$A$1:$G$1,0))</f>
        <v>3.645</v>
      </c>
      <c r="M706" s="10">
        <f t="shared" si="30"/>
        <v>21.87</v>
      </c>
      <c r="N706" t="str">
        <f t="shared" si="31"/>
        <v>Excelsa</v>
      </c>
      <c r="O706" t="str">
        <f t="shared" si="32"/>
        <v>Dark</v>
      </c>
      <c r="P706" t="str">
        <f>_xlfn.XLOOKUP(Table1[[#This Row],[Customer ID]],customers!$A$1:$A$1001,customers!$I$1:$I$1001,,0)</f>
        <v>Yes</v>
      </c>
    </row>
    <row r="707" spans="1:16" x14ac:dyDescent="0.25">
      <c r="A707" s="2" t="s">
        <v>4471</v>
      </c>
      <c r="B707" s="8">
        <v>44114</v>
      </c>
      <c r="C707" s="2" t="s">
        <v>4472</v>
      </c>
      <c r="D707" t="s">
        <v>6176</v>
      </c>
      <c r="E707" s="2">
        <v>2</v>
      </c>
      <c r="F707" s="2" t="str">
        <f>_xlfn.XLOOKUP(orders!C707,customers!$A$1:$A$1001,customers!$B$1:$B$1001,,0)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9">
        <f>INDEX(products!$A$1:$G$49,MATCH(orders!$D707,products!$A$1:$A$49,0),MATCH(orders!K$1,products!$A$1:$G$1,0))</f>
        <v>0.5</v>
      </c>
      <c r="L707" s="10">
        <f>INDEX(products!$A$1:$G$49,MATCH(orders!$D707,products!$A$1:$A$49,0),MATCH(orders!L$1,products!$A$1:$G$1,0))</f>
        <v>8.91</v>
      </c>
      <c r="M707" s="10">
        <f t="shared" ref="M707:M770" si="33">L707*E707</f>
        <v>17.82</v>
      </c>
      <c r="N707" t="str">
        <f t="shared" ref="N707:N770" si="34">IF(I707="Rob", "Robusta", IF(I707="Exc","Excelsa", IF(I707="Ara","Arabica", IF(I707="Lib","Liberica",""))))</f>
        <v>Excelsa</v>
      </c>
      <c r="O707" t="str">
        <f t="shared" ref="O707:O770" si="35">IF(J707="M", "Medium", IF(J707="L","Light",IF(J707="D","Dark","")))</f>
        <v>Light</v>
      </c>
      <c r="P707" t="str">
        <f>_xlfn.XLOOKUP(Table1[[#This Row],[Customer ID]],customers!$A$1:$A$1001,customers!$I$1:$I$1001,,0)</f>
        <v>No</v>
      </c>
    </row>
    <row r="708" spans="1:16" x14ac:dyDescent="0.25">
      <c r="A708" s="2" t="s">
        <v>4477</v>
      </c>
      <c r="B708" s="8">
        <v>44353</v>
      </c>
      <c r="C708" s="2" t="s">
        <v>4478</v>
      </c>
      <c r="D708" t="s">
        <v>6156</v>
      </c>
      <c r="E708" s="2">
        <v>3</v>
      </c>
      <c r="F708" s="2" t="str">
        <f>_xlfn.XLOOKUP(orders!C708,customers!$A$1:$A$1001,customers!$B$1:$B$1001,,0)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9">
        <f>INDEX(products!$A$1:$G$49,MATCH(orders!$D708,products!$A$1:$A$49,0),MATCH(orders!K$1,products!$A$1:$G$1,0))</f>
        <v>0.2</v>
      </c>
      <c r="L708" s="10">
        <f>INDEX(products!$A$1:$G$49,MATCH(orders!$D708,products!$A$1:$A$49,0),MATCH(orders!L$1,products!$A$1:$G$1,0))</f>
        <v>4.125</v>
      </c>
      <c r="M708" s="10">
        <f t="shared" si="33"/>
        <v>12.375</v>
      </c>
      <c r="N708" t="str">
        <f t="shared" si="34"/>
        <v>Excelsa</v>
      </c>
      <c r="O708" t="str">
        <f t="shared" si="35"/>
        <v>Medium</v>
      </c>
      <c r="P708" t="str">
        <f>_xlfn.XLOOKUP(Table1[[#This Row],[Customer ID]],customers!$A$1:$A$1001,customers!$I$1:$I$1001,,0)</f>
        <v>No</v>
      </c>
    </row>
    <row r="709" spans="1:16" x14ac:dyDescent="0.25">
      <c r="A709" s="2" t="s">
        <v>4483</v>
      </c>
      <c r="B709" s="8">
        <v>43540</v>
      </c>
      <c r="C709" s="2" t="s">
        <v>4484</v>
      </c>
      <c r="D709" t="s">
        <v>6143</v>
      </c>
      <c r="E709" s="2">
        <v>2</v>
      </c>
      <c r="F709" s="2" t="str">
        <f>_xlfn.XLOOKUP(orders!C709,customers!$A$1:$A$1001,customers!$B$1:$B$1001,,0)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9">
        <f>INDEX(products!$A$1:$G$49,MATCH(orders!$D709,products!$A$1:$A$49,0),MATCH(orders!K$1,products!$A$1:$G$1,0))</f>
        <v>1</v>
      </c>
      <c r="L709" s="10">
        <f>INDEX(products!$A$1:$G$49,MATCH(orders!$D709,products!$A$1:$A$49,0),MATCH(orders!L$1,products!$A$1:$G$1,0))</f>
        <v>12.95</v>
      </c>
      <c r="M709" s="10">
        <f t="shared" si="33"/>
        <v>25.9</v>
      </c>
      <c r="N709" t="str">
        <f t="shared" si="34"/>
        <v>Liberica</v>
      </c>
      <c r="O709" t="str">
        <f t="shared" si="35"/>
        <v>Dark</v>
      </c>
      <c r="P709" t="str">
        <f>_xlfn.XLOOKUP(Table1[[#This Row],[Customer ID]],customers!$A$1:$A$1001,customers!$I$1:$I$1001,,0)</f>
        <v>No</v>
      </c>
    </row>
    <row r="710" spans="1:16" x14ac:dyDescent="0.25">
      <c r="A710" s="2" t="s">
        <v>4488</v>
      </c>
      <c r="B710" s="8">
        <v>43804</v>
      </c>
      <c r="C710" s="2" t="s">
        <v>4489</v>
      </c>
      <c r="D710" t="s">
        <v>6157</v>
      </c>
      <c r="E710" s="2">
        <v>2</v>
      </c>
      <c r="F710" s="2" t="str">
        <f>_xlfn.XLOOKUP(orders!C710,customers!$A$1:$A$1001,customers!$B$1:$B$1001,,0)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9">
        <f>INDEX(products!$A$1:$G$49,MATCH(orders!$D710,products!$A$1:$A$49,0),MATCH(orders!K$1,products!$A$1:$G$1,0))</f>
        <v>0.5</v>
      </c>
      <c r="L710" s="10">
        <f>INDEX(products!$A$1:$G$49,MATCH(orders!$D710,products!$A$1:$A$49,0),MATCH(orders!L$1,products!$A$1:$G$1,0))</f>
        <v>6.75</v>
      </c>
      <c r="M710" s="10">
        <f t="shared" si="33"/>
        <v>13.5</v>
      </c>
      <c r="N710" t="str">
        <f t="shared" si="34"/>
        <v>Arabica</v>
      </c>
      <c r="O710" t="str">
        <f t="shared" si="35"/>
        <v>Medium</v>
      </c>
      <c r="P710" t="str">
        <f>_xlfn.XLOOKUP(Table1[[#This Row],[Customer ID]],customers!$A$1:$A$1001,customers!$I$1:$I$1001,,0)</f>
        <v>Yes</v>
      </c>
    </row>
    <row r="711" spans="1:16" x14ac:dyDescent="0.25">
      <c r="A711" s="2" t="s">
        <v>4494</v>
      </c>
      <c r="B711" s="8">
        <v>43485</v>
      </c>
      <c r="C711" s="2" t="s">
        <v>4495</v>
      </c>
      <c r="D711" t="s">
        <v>6176</v>
      </c>
      <c r="E711" s="2">
        <v>2</v>
      </c>
      <c r="F711" s="2" t="str">
        <f>_xlfn.XLOOKUP(orders!C711,customers!$A$1:$A$1001,customers!$B$1:$B$1001,,0)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9">
        <f>INDEX(products!$A$1:$G$49,MATCH(orders!$D711,products!$A$1:$A$49,0),MATCH(orders!K$1,products!$A$1:$G$1,0))</f>
        <v>0.5</v>
      </c>
      <c r="L711" s="10">
        <f>INDEX(products!$A$1:$G$49,MATCH(orders!$D711,products!$A$1:$A$49,0),MATCH(orders!L$1,products!$A$1:$G$1,0))</f>
        <v>8.91</v>
      </c>
      <c r="M711" s="10">
        <f t="shared" si="33"/>
        <v>17.82</v>
      </c>
      <c r="N711" t="str">
        <f t="shared" si="34"/>
        <v>Excelsa</v>
      </c>
      <c r="O711" t="str">
        <f t="shared" si="35"/>
        <v>Light</v>
      </c>
      <c r="P711" t="str">
        <f>_xlfn.XLOOKUP(Table1[[#This Row],[Customer ID]],customers!$A$1:$A$1001,customers!$I$1:$I$1001,,0)</f>
        <v>Yes</v>
      </c>
    </row>
    <row r="712" spans="1:16" x14ac:dyDescent="0.25">
      <c r="A712" s="2" t="s">
        <v>4499</v>
      </c>
      <c r="B712" s="8">
        <v>44655</v>
      </c>
      <c r="C712" s="2" t="s">
        <v>4500</v>
      </c>
      <c r="D712" t="s">
        <v>6139</v>
      </c>
      <c r="E712" s="2">
        <v>3</v>
      </c>
      <c r="F712" s="2" t="str">
        <f>_xlfn.XLOOKUP(orders!C712,customers!$A$1:$A$1001,customers!$B$1:$B$1001,,0)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9">
        <f>INDEX(products!$A$1:$G$49,MATCH(orders!$D712,products!$A$1:$A$49,0),MATCH(orders!K$1,products!$A$1:$G$1,0))</f>
        <v>0.5</v>
      </c>
      <c r="L712" s="10">
        <f>INDEX(products!$A$1:$G$49,MATCH(orders!$D712,products!$A$1:$A$49,0),MATCH(orders!L$1,products!$A$1:$G$1,0))</f>
        <v>8.25</v>
      </c>
      <c r="M712" s="10">
        <f t="shared" si="33"/>
        <v>24.75</v>
      </c>
      <c r="N712" t="str">
        <f t="shared" si="34"/>
        <v>Excelsa</v>
      </c>
      <c r="O712" t="str">
        <f t="shared" si="35"/>
        <v>Medium</v>
      </c>
      <c r="P712" t="str">
        <f>_xlfn.XLOOKUP(Table1[[#This Row],[Customer ID]],customers!$A$1:$A$1001,customers!$I$1:$I$1001,,0)</f>
        <v>No</v>
      </c>
    </row>
    <row r="713" spans="1:16" x14ac:dyDescent="0.25">
      <c r="A713" s="2" t="s">
        <v>4505</v>
      </c>
      <c r="B713" s="8">
        <v>44600</v>
      </c>
      <c r="C713" s="2" t="s">
        <v>4506</v>
      </c>
      <c r="D713" t="s">
        <v>6174</v>
      </c>
      <c r="E713" s="2">
        <v>6</v>
      </c>
      <c r="F713" s="2" t="str">
        <f>_xlfn.XLOOKUP(orders!C713,customers!$A$1:$A$1001,customers!$B$1:$B$1001,,0)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9">
        <f>INDEX(products!$A$1:$G$49,MATCH(orders!$D713,products!$A$1:$A$49,0),MATCH(orders!K$1,products!$A$1:$G$1,0))</f>
        <v>0.2</v>
      </c>
      <c r="L713" s="10">
        <f>INDEX(products!$A$1:$G$49,MATCH(orders!$D713,products!$A$1:$A$49,0),MATCH(orders!L$1,products!$A$1:$G$1,0))</f>
        <v>2.9849999999999999</v>
      </c>
      <c r="M713" s="10">
        <f t="shared" si="33"/>
        <v>17.91</v>
      </c>
      <c r="N713" t="str">
        <f t="shared" si="34"/>
        <v>Robusta</v>
      </c>
      <c r="O713" t="str">
        <f t="shared" si="35"/>
        <v>Medium</v>
      </c>
      <c r="P713" t="str">
        <f>_xlfn.XLOOKUP(Table1[[#This Row],[Customer ID]],customers!$A$1:$A$1001,customers!$I$1:$I$1001,,0)</f>
        <v>No</v>
      </c>
    </row>
    <row r="714" spans="1:16" x14ac:dyDescent="0.25">
      <c r="A714" s="2" t="s">
        <v>4512</v>
      </c>
      <c r="B714" s="8">
        <v>43646</v>
      </c>
      <c r="C714" s="2" t="s">
        <v>4513</v>
      </c>
      <c r="D714" t="s">
        <v>6139</v>
      </c>
      <c r="E714" s="2">
        <v>2</v>
      </c>
      <c r="F714" s="2" t="str">
        <f>_xlfn.XLOOKUP(orders!C714,customers!$A$1:$A$1001,customers!$B$1:$B$1001,,0)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9">
        <f>INDEX(products!$A$1:$G$49,MATCH(orders!$D714,products!$A$1:$A$49,0),MATCH(orders!K$1,products!$A$1:$G$1,0))</f>
        <v>0.5</v>
      </c>
      <c r="L714" s="10">
        <f>INDEX(products!$A$1:$G$49,MATCH(orders!$D714,products!$A$1:$A$49,0),MATCH(orders!L$1,products!$A$1:$G$1,0))</f>
        <v>8.25</v>
      </c>
      <c r="M714" s="10">
        <f t="shared" si="33"/>
        <v>16.5</v>
      </c>
      <c r="N714" t="str">
        <f t="shared" si="34"/>
        <v>Excelsa</v>
      </c>
      <c r="O714" t="str">
        <f t="shared" si="35"/>
        <v>Medium</v>
      </c>
      <c r="P714" t="str">
        <f>_xlfn.XLOOKUP(Table1[[#This Row],[Customer ID]],customers!$A$1:$A$1001,customers!$I$1:$I$1001,,0)</f>
        <v>No</v>
      </c>
    </row>
    <row r="715" spans="1:16" x14ac:dyDescent="0.25">
      <c r="A715" s="2" t="s">
        <v>4516</v>
      </c>
      <c r="B715" s="8">
        <v>43960</v>
      </c>
      <c r="C715" s="2" t="s">
        <v>4517</v>
      </c>
      <c r="D715" t="s">
        <v>6174</v>
      </c>
      <c r="E715" s="2">
        <v>1</v>
      </c>
      <c r="F715" s="2" t="str">
        <f>_xlfn.XLOOKUP(orders!C715,customers!$A$1:$A$1001,customers!$B$1:$B$1001,,0)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9">
        <f>INDEX(products!$A$1:$G$49,MATCH(orders!$D715,products!$A$1:$A$49,0),MATCH(orders!K$1,products!$A$1:$G$1,0))</f>
        <v>0.2</v>
      </c>
      <c r="L715" s="10">
        <f>INDEX(products!$A$1:$G$49,MATCH(orders!$D715,products!$A$1:$A$49,0),MATCH(orders!L$1,products!$A$1:$G$1,0))</f>
        <v>2.9849999999999999</v>
      </c>
      <c r="M715" s="10">
        <f t="shared" si="33"/>
        <v>2.9849999999999999</v>
      </c>
      <c r="N715" t="str">
        <f t="shared" si="34"/>
        <v>Robusta</v>
      </c>
      <c r="O715" t="str">
        <f t="shared" si="35"/>
        <v>Medium</v>
      </c>
      <c r="P715" t="str">
        <f>_xlfn.XLOOKUP(Table1[[#This Row],[Customer ID]],customers!$A$1:$A$1001,customers!$I$1:$I$1001,,0)</f>
        <v>No</v>
      </c>
    </row>
    <row r="716" spans="1:16" x14ac:dyDescent="0.25">
      <c r="A716" s="2" t="s">
        <v>4522</v>
      </c>
      <c r="B716" s="8">
        <v>44358</v>
      </c>
      <c r="C716" s="2" t="s">
        <v>4523</v>
      </c>
      <c r="D716" t="s">
        <v>6153</v>
      </c>
      <c r="E716" s="2">
        <v>4</v>
      </c>
      <c r="F716" s="2" t="str">
        <f>_xlfn.XLOOKUP(orders!C716,customers!$A$1:$A$1001,customers!$B$1:$B$1001,,0)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9">
        <f>INDEX(products!$A$1:$G$49,MATCH(orders!$D716,products!$A$1:$A$49,0),MATCH(orders!K$1,products!$A$1:$G$1,0))</f>
        <v>0.2</v>
      </c>
      <c r="L716" s="10">
        <f>INDEX(products!$A$1:$G$49,MATCH(orders!$D716,products!$A$1:$A$49,0),MATCH(orders!L$1,products!$A$1:$G$1,0))</f>
        <v>3.645</v>
      </c>
      <c r="M716" s="10">
        <f t="shared" si="33"/>
        <v>14.58</v>
      </c>
      <c r="N716" t="str">
        <f t="shared" si="34"/>
        <v>Excelsa</v>
      </c>
      <c r="O716" t="str">
        <f t="shared" si="35"/>
        <v>Dark</v>
      </c>
      <c r="P716" t="str">
        <f>_xlfn.XLOOKUP(Table1[[#This Row],[Customer ID]],customers!$A$1:$A$1001,customers!$I$1:$I$1001,,0)</f>
        <v>Yes</v>
      </c>
    </row>
    <row r="717" spans="1:16" x14ac:dyDescent="0.25">
      <c r="A717" s="2" t="s">
        <v>4528</v>
      </c>
      <c r="B717" s="8">
        <v>44504</v>
      </c>
      <c r="C717" s="2" t="s">
        <v>4529</v>
      </c>
      <c r="D717" t="s">
        <v>6171</v>
      </c>
      <c r="E717" s="2">
        <v>6</v>
      </c>
      <c r="F717" s="2" t="str">
        <f>_xlfn.XLOOKUP(orders!C717,customers!$A$1:$A$1001,customers!$B$1:$B$1001,,0)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9">
        <f>INDEX(products!$A$1:$G$49,MATCH(orders!$D717,products!$A$1:$A$49,0),MATCH(orders!K$1,products!$A$1:$G$1,0))</f>
        <v>1</v>
      </c>
      <c r="L717" s="10">
        <f>INDEX(products!$A$1:$G$49,MATCH(orders!$D717,products!$A$1:$A$49,0),MATCH(orders!L$1,products!$A$1:$G$1,0))</f>
        <v>14.85</v>
      </c>
      <c r="M717" s="10">
        <f t="shared" si="33"/>
        <v>89.1</v>
      </c>
      <c r="N717" t="str">
        <f t="shared" si="34"/>
        <v>Excelsa</v>
      </c>
      <c r="O717" t="str">
        <f t="shared" si="35"/>
        <v>Light</v>
      </c>
      <c r="P717" t="str">
        <f>_xlfn.XLOOKUP(Table1[[#This Row],[Customer ID]],customers!$A$1:$A$1001,customers!$I$1:$I$1001,,0)</f>
        <v>No</v>
      </c>
    </row>
    <row r="718" spans="1:16" x14ac:dyDescent="0.25">
      <c r="A718" s="2" t="s">
        <v>4533</v>
      </c>
      <c r="B718" s="8">
        <v>44612</v>
      </c>
      <c r="C718" s="2" t="s">
        <v>4434</v>
      </c>
      <c r="D718" t="s">
        <v>6179</v>
      </c>
      <c r="E718" s="2">
        <v>3</v>
      </c>
      <c r="F718" s="2" t="str">
        <f>_xlfn.XLOOKUP(orders!C718,customers!$A$1:$A$1001,customers!$B$1:$B$1001,,0)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9">
        <f>INDEX(products!$A$1:$G$49,MATCH(orders!$D718,products!$A$1:$A$49,0),MATCH(orders!K$1,products!$A$1:$G$1,0))</f>
        <v>1</v>
      </c>
      <c r="L718" s="10">
        <f>INDEX(products!$A$1:$G$49,MATCH(orders!$D718,products!$A$1:$A$49,0),MATCH(orders!L$1,products!$A$1:$G$1,0))</f>
        <v>11.95</v>
      </c>
      <c r="M718" s="10">
        <f t="shared" si="33"/>
        <v>35.849999999999994</v>
      </c>
      <c r="N718" t="str">
        <f t="shared" si="34"/>
        <v>Robusta</v>
      </c>
      <c r="O718" t="str">
        <f t="shared" si="35"/>
        <v>Light</v>
      </c>
      <c r="P718" t="str">
        <f>_xlfn.XLOOKUP(Table1[[#This Row],[Customer ID]],customers!$A$1:$A$1001,customers!$I$1:$I$1001,,0)</f>
        <v>No</v>
      </c>
    </row>
    <row r="719" spans="1:16" x14ac:dyDescent="0.25">
      <c r="A719" s="2" t="s">
        <v>4539</v>
      </c>
      <c r="B719" s="8">
        <v>43649</v>
      </c>
      <c r="C719" s="2" t="s">
        <v>4540</v>
      </c>
      <c r="D719" t="s">
        <v>6168</v>
      </c>
      <c r="E719" s="2">
        <v>3</v>
      </c>
      <c r="F719" s="2" t="str">
        <f>_xlfn.XLOOKUP(orders!C719,customers!$A$1:$A$1001,customers!$B$1:$B$1001,,0)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9">
        <f>INDEX(products!$A$1:$G$49,MATCH(orders!$D719,products!$A$1:$A$49,0),MATCH(orders!K$1,products!$A$1:$G$1,0))</f>
        <v>2.5</v>
      </c>
      <c r="L719" s="10">
        <f>INDEX(products!$A$1:$G$49,MATCH(orders!$D719,products!$A$1:$A$49,0),MATCH(orders!L$1,products!$A$1:$G$1,0))</f>
        <v>22.884999999999998</v>
      </c>
      <c r="M719" s="10">
        <f t="shared" si="33"/>
        <v>68.655000000000001</v>
      </c>
      <c r="N719" t="str">
        <f t="shared" si="34"/>
        <v>Arabica</v>
      </c>
      <c r="O719" t="str">
        <f t="shared" si="35"/>
        <v>Dark</v>
      </c>
      <c r="P719" t="str">
        <f>_xlfn.XLOOKUP(Table1[[#This Row],[Customer ID]],customers!$A$1:$A$1001,customers!$I$1:$I$1001,,0)</f>
        <v>No</v>
      </c>
    </row>
    <row r="720" spans="1:16" x14ac:dyDescent="0.25">
      <c r="A720" s="2" t="s">
        <v>4545</v>
      </c>
      <c r="B720" s="8">
        <v>44348</v>
      </c>
      <c r="C720" s="2" t="s">
        <v>4546</v>
      </c>
      <c r="D720" t="s">
        <v>6143</v>
      </c>
      <c r="E720" s="2">
        <v>3</v>
      </c>
      <c r="F720" s="2" t="str">
        <f>_xlfn.XLOOKUP(orders!C720,customers!$A$1:$A$1001,customers!$B$1:$B$1001,,0)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9">
        <f>INDEX(products!$A$1:$G$49,MATCH(orders!$D720,products!$A$1:$A$49,0),MATCH(orders!K$1,products!$A$1:$G$1,0))</f>
        <v>1</v>
      </c>
      <c r="L720" s="10">
        <f>INDEX(products!$A$1:$G$49,MATCH(orders!$D720,products!$A$1:$A$49,0),MATCH(orders!L$1,products!$A$1:$G$1,0))</f>
        <v>12.95</v>
      </c>
      <c r="M720" s="10">
        <f t="shared" si="33"/>
        <v>38.849999999999994</v>
      </c>
      <c r="N720" t="str">
        <f t="shared" si="34"/>
        <v>Liberica</v>
      </c>
      <c r="O720" t="str">
        <f t="shared" si="35"/>
        <v>Dark</v>
      </c>
      <c r="P720" t="str">
        <f>_xlfn.XLOOKUP(Table1[[#This Row],[Customer ID]],customers!$A$1:$A$1001,customers!$I$1:$I$1001,,0)</f>
        <v>No</v>
      </c>
    </row>
    <row r="721" spans="1:16" x14ac:dyDescent="0.25">
      <c r="A721" s="2" t="s">
        <v>4551</v>
      </c>
      <c r="B721" s="8">
        <v>44150</v>
      </c>
      <c r="C721" s="2" t="s">
        <v>4552</v>
      </c>
      <c r="D721" t="s">
        <v>6170</v>
      </c>
      <c r="E721" s="2">
        <v>5</v>
      </c>
      <c r="F721" s="2" t="str">
        <f>_xlfn.XLOOKUP(orders!C721,customers!$A$1:$A$1001,customers!$B$1:$B$1001,,0)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9">
        <f>INDEX(products!$A$1:$G$49,MATCH(orders!$D721,products!$A$1:$A$49,0),MATCH(orders!K$1,products!$A$1:$G$1,0))</f>
        <v>1</v>
      </c>
      <c r="L721" s="10">
        <f>INDEX(products!$A$1:$G$49,MATCH(orders!$D721,products!$A$1:$A$49,0),MATCH(orders!L$1,products!$A$1:$G$1,0))</f>
        <v>15.85</v>
      </c>
      <c r="M721" s="10">
        <f t="shared" si="33"/>
        <v>79.25</v>
      </c>
      <c r="N721" t="str">
        <f t="shared" si="34"/>
        <v>Liberica</v>
      </c>
      <c r="O721" t="str">
        <f t="shared" si="35"/>
        <v>Light</v>
      </c>
      <c r="P721" t="str">
        <f>_xlfn.XLOOKUP(Table1[[#This Row],[Customer ID]],customers!$A$1:$A$1001,customers!$I$1:$I$1001,,0)</f>
        <v>Yes</v>
      </c>
    </row>
    <row r="722" spans="1:16" x14ac:dyDescent="0.25">
      <c r="A722" s="2" t="s">
        <v>4557</v>
      </c>
      <c r="B722" s="8">
        <v>44215</v>
      </c>
      <c r="C722" s="2" t="s">
        <v>4558</v>
      </c>
      <c r="D722" t="s">
        <v>6144</v>
      </c>
      <c r="E722" s="2">
        <v>5</v>
      </c>
      <c r="F722" s="2" t="str">
        <f>_xlfn.XLOOKUP(orders!C722,customers!$A$1:$A$1001,customers!$B$1:$B$1001,,0)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9">
        <f>INDEX(products!$A$1:$G$49,MATCH(orders!$D722,products!$A$1:$A$49,0),MATCH(orders!K$1,products!$A$1:$G$1,0))</f>
        <v>0.5</v>
      </c>
      <c r="L722" s="10">
        <f>INDEX(products!$A$1:$G$49,MATCH(orders!$D722,products!$A$1:$A$49,0),MATCH(orders!L$1,products!$A$1:$G$1,0))</f>
        <v>7.29</v>
      </c>
      <c r="M722" s="10">
        <f t="shared" si="33"/>
        <v>36.450000000000003</v>
      </c>
      <c r="N722" t="str">
        <f t="shared" si="34"/>
        <v>Excelsa</v>
      </c>
      <c r="O722" t="str">
        <f t="shared" si="35"/>
        <v>Dark</v>
      </c>
      <c r="P722" t="str">
        <f>_xlfn.XLOOKUP(Table1[[#This Row],[Customer ID]],customers!$A$1:$A$1001,customers!$I$1:$I$1001,,0)</f>
        <v>Yes</v>
      </c>
    </row>
    <row r="723" spans="1:16" x14ac:dyDescent="0.25">
      <c r="A723" s="2" t="s">
        <v>4563</v>
      </c>
      <c r="B723" s="8">
        <v>44479</v>
      </c>
      <c r="C723" s="2" t="s">
        <v>4564</v>
      </c>
      <c r="D723" t="s">
        <v>6174</v>
      </c>
      <c r="E723" s="2">
        <v>3</v>
      </c>
      <c r="F723" s="2" t="str">
        <f>_xlfn.XLOOKUP(orders!C723,customers!$A$1:$A$1001,customers!$B$1:$B$1001,,0)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9">
        <f>INDEX(products!$A$1:$G$49,MATCH(orders!$D723,products!$A$1:$A$49,0),MATCH(orders!K$1,products!$A$1:$G$1,0))</f>
        <v>0.2</v>
      </c>
      <c r="L723" s="10">
        <f>INDEX(products!$A$1:$G$49,MATCH(orders!$D723,products!$A$1:$A$49,0),MATCH(orders!L$1,products!$A$1:$G$1,0))</f>
        <v>2.9849999999999999</v>
      </c>
      <c r="M723" s="10">
        <f t="shared" si="33"/>
        <v>8.9550000000000001</v>
      </c>
      <c r="N723" t="str">
        <f t="shared" si="34"/>
        <v>Robusta</v>
      </c>
      <c r="O723" t="str">
        <f t="shared" si="35"/>
        <v>Medium</v>
      </c>
      <c r="P723" t="str">
        <f>_xlfn.XLOOKUP(Table1[[#This Row],[Customer ID]],customers!$A$1:$A$1001,customers!$I$1:$I$1001,,0)</f>
        <v>Yes</v>
      </c>
    </row>
    <row r="724" spans="1:16" x14ac:dyDescent="0.25">
      <c r="A724" s="2" t="s">
        <v>4569</v>
      </c>
      <c r="B724" s="8">
        <v>44620</v>
      </c>
      <c r="C724" s="2" t="s">
        <v>4570</v>
      </c>
      <c r="D724" t="s">
        <v>6183</v>
      </c>
      <c r="E724" s="2">
        <v>2</v>
      </c>
      <c r="F724" s="2" t="str">
        <f>_xlfn.XLOOKUP(orders!C724,customers!$A$1:$A$1001,customers!$B$1:$B$1001,,0)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9">
        <f>INDEX(products!$A$1:$G$49,MATCH(orders!$D724,products!$A$1:$A$49,0),MATCH(orders!K$1,products!$A$1:$G$1,0))</f>
        <v>1</v>
      </c>
      <c r="L724" s="10">
        <f>INDEX(products!$A$1:$G$49,MATCH(orders!$D724,products!$A$1:$A$49,0),MATCH(orders!L$1,products!$A$1:$G$1,0))</f>
        <v>12.15</v>
      </c>
      <c r="M724" s="10">
        <f t="shared" si="33"/>
        <v>24.3</v>
      </c>
      <c r="N724" t="str">
        <f t="shared" si="34"/>
        <v>Excelsa</v>
      </c>
      <c r="O724" t="str">
        <f t="shared" si="35"/>
        <v>Dark</v>
      </c>
      <c r="P724" t="str">
        <f>_xlfn.XLOOKUP(Table1[[#This Row],[Customer ID]],customers!$A$1:$A$1001,customers!$I$1:$I$1001,,0)</f>
        <v>No</v>
      </c>
    </row>
    <row r="725" spans="1:16" x14ac:dyDescent="0.25">
      <c r="A725" s="2" t="s">
        <v>4574</v>
      </c>
      <c r="B725" s="8">
        <v>44470</v>
      </c>
      <c r="C725" s="2" t="s">
        <v>4575</v>
      </c>
      <c r="D725" t="s">
        <v>6166</v>
      </c>
      <c r="E725" s="2">
        <v>2</v>
      </c>
      <c r="F725" s="2" t="str">
        <f>_xlfn.XLOOKUP(orders!C725,customers!$A$1:$A$1001,customers!$B$1:$B$1001,,0)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9">
        <f>INDEX(products!$A$1:$G$49,MATCH(orders!$D725,products!$A$1:$A$49,0),MATCH(orders!K$1,products!$A$1:$G$1,0))</f>
        <v>2.5</v>
      </c>
      <c r="L725" s="10">
        <f>INDEX(products!$A$1:$G$49,MATCH(orders!$D725,products!$A$1:$A$49,0),MATCH(orders!L$1,products!$A$1:$G$1,0))</f>
        <v>31.624999999999996</v>
      </c>
      <c r="M725" s="10">
        <f t="shared" si="33"/>
        <v>63.249999999999993</v>
      </c>
      <c r="N725" t="str">
        <f t="shared" si="34"/>
        <v>Excelsa</v>
      </c>
      <c r="O725" t="str">
        <f t="shared" si="35"/>
        <v>Medium</v>
      </c>
      <c r="P725" t="str">
        <f>_xlfn.XLOOKUP(Table1[[#This Row],[Customer ID]],customers!$A$1:$A$1001,customers!$I$1:$I$1001,,0)</f>
        <v>No</v>
      </c>
    </row>
    <row r="726" spans="1:16" x14ac:dyDescent="0.25">
      <c r="A726" s="2" t="s">
        <v>4580</v>
      </c>
      <c r="B726" s="8">
        <v>44076</v>
      </c>
      <c r="C726" s="2" t="s">
        <v>4581</v>
      </c>
      <c r="D726" t="s">
        <v>6152</v>
      </c>
      <c r="E726" s="2">
        <v>2</v>
      </c>
      <c r="F726" s="2" t="str">
        <f>_xlfn.XLOOKUP(orders!C726,customers!$A$1:$A$1001,customers!$B$1:$B$1001,,0)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9">
        <f>INDEX(products!$A$1:$G$49,MATCH(orders!$D726,products!$A$1:$A$49,0),MATCH(orders!K$1,products!$A$1:$G$1,0))</f>
        <v>0.2</v>
      </c>
      <c r="L726" s="10">
        <f>INDEX(products!$A$1:$G$49,MATCH(orders!$D726,products!$A$1:$A$49,0),MATCH(orders!L$1,products!$A$1:$G$1,0))</f>
        <v>3.375</v>
      </c>
      <c r="M726" s="10">
        <f t="shared" si="33"/>
        <v>6.75</v>
      </c>
      <c r="N726" t="str">
        <f t="shared" si="34"/>
        <v>Arabica</v>
      </c>
      <c r="O726" t="str">
        <f t="shared" si="35"/>
        <v>Medium</v>
      </c>
      <c r="P726" t="str">
        <f>_xlfn.XLOOKUP(Table1[[#This Row],[Customer ID]],customers!$A$1:$A$1001,customers!$I$1:$I$1001,,0)</f>
        <v>Yes</v>
      </c>
    </row>
    <row r="727" spans="1:16" x14ac:dyDescent="0.25">
      <c r="A727" s="2" t="s">
        <v>4585</v>
      </c>
      <c r="B727" s="8">
        <v>44043</v>
      </c>
      <c r="C727" s="2" t="s">
        <v>4586</v>
      </c>
      <c r="D727" t="s">
        <v>6167</v>
      </c>
      <c r="E727" s="2">
        <v>6</v>
      </c>
      <c r="F727" s="2" t="str">
        <f>_xlfn.XLOOKUP(orders!C727,customers!$A$1:$A$1001,customers!$B$1:$B$1001,,0)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9">
        <f>INDEX(products!$A$1:$G$49,MATCH(orders!$D727,products!$A$1:$A$49,0),MATCH(orders!K$1,products!$A$1:$G$1,0))</f>
        <v>0.2</v>
      </c>
      <c r="L727" s="10">
        <f>INDEX(products!$A$1:$G$49,MATCH(orders!$D727,products!$A$1:$A$49,0),MATCH(orders!L$1,products!$A$1:$G$1,0))</f>
        <v>3.8849999999999998</v>
      </c>
      <c r="M727" s="10">
        <f t="shared" si="33"/>
        <v>23.31</v>
      </c>
      <c r="N727" t="str">
        <f t="shared" si="34"/>
        <v>Arabica</v>
      </c>
      <c r="O727" t="str">
        <f t="shared" si="35"/>
        <v>Light</v>
      </c>
      <c r="P727" t="str">
        <f>_xlfn.XLOOKUP(Table1[[#This Row],[Customer ID]],customers!$A$1:$A$1001,customers!$I$1:$I$1001,,0)</f>
        <v>No</v>
      </c>
    </row>
    <row r="728" spans="1:16" x14ac:dyDescent="0.25">
      <c r="A728" s="2" t="s">
        <v>4591</v>
      </c>
      <c r="B728" s="8">
        <v>44571</v>
      </c>
      <c r="C728" s="2" t="s">
        <v>4592</v>
      </c>
      <c r="D728" t="s">
        <v>6164</v>
      </c>
      <c r="E728" s="2">
        <v>4</v>
      </c>
      <c r="F728" s="2" t="str">
        <f>_xlfn.XLOOKUP(orders!C728,customers!$A$1:$A$1001,customers!$B$1:$B$1001,,0)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9">
        <f>INDEX(products!$A$1:$G$49,MATCH(orders!$D728,products!$A$1:$A$49,0),MATCH(orders!K$1,products!$A$1:$G$1,0))</f>
        <v>2.5</v>
      </c>
      <c r="L728" s="10">
        <f>INDEX(products!$A$1:$G$49,MATCH(orders!$D728,products!$A$1:$A$49,0),MATCH(orders!L$1,products!$A$1:$G$1,0))</f>
        <v>36.454999999999998</v>
      </c>
      <c r="M728" s="10">
        <f t="shared" si="33"/>
        <v>145.82</v>
      </c>
      <c r="N728" t="str">
        <f t="shared" si="34"/>
        <v>Liberica</v>
      </c>
      <c r="O728" t="str">
        <f t="shared" si="35"/>
        <v>Light</v>
      </c>
      <c r="P728" t="str">
        <f>_xlfn.XLOOKUP(Table1[[#This Row],[Customer ID]],customers!$A$1:$A$1001,customers!$I$1:$I$1001,,0)</f>
        <v>No</v>
      </c>
    </row>
    <row r="729" spans="1:16" x14ac:dyDescent="0.25">
      <c r="A729" s="2" t="s">
        <v>4596</v>
      </c>
      <c r="B729" s="8">
        <v>44264</v>
      </c>
      <c r="C729" s="2" t="s">
        <v>4597</v>
      </c>
      <c r="D729" t="s">
        <v>6146</v>
      </c>
      <c r="E729" s="2">
        <v>5</v>
      </c>
      <c r="F729" s="2" t="str">
        <f>_xlfn.XLOOKUP(orders!C729,customers!$A$1:$A$1001,customers!$B$1:$B$1001,,0)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9">
        <f>INDEX(products!$A$1:$G$49,MATCH(orders!$D729,products!$A$1:$A$49,0),MATCH(orders!K$1,products!$A$1:$G$1,0))</f>
        <v>0.5</v>
      </c>
      <c r="L729" s="10">
        <f>INDEX(products!$A$1:$G$49,MATCH(orders!$D729,products!$A$1:$A$49,0),MATCH(orders!L$1,products!$A$1:$G$1,0))</f>
        <v>5.97</v>
      </c>
      <c r="M729" s="10">
        <f t="shared" si="33"/>
        <v>29.849999999999998</v>
      </c>
      <c r="N729" t="str">
        <f t="shared" si="34"/>
        <v>Robusta</v>
      </c>
      <c r="O729" t="str">
        <f t="shared" si="35"/>
        <v>Medium</v>
      </c>
      <c r="P729" t="str">
        <f>_xlfn.XLOOKUP(Table1[[#This Row],[Customer ID]],customers!$A$1:$A$1001,customers!$I$1:$I$1001,,0)</f>
        <v>Yes</v>
      </c>
    </row>
    <row r="730" spans="1:16" x14ac:dyDescent="0.25">
      <c r="A730" s="2" t="s">
        <v>4602</v>
      </c>
      <c r="B730" s="8">
        <v>44155</v>
      </c>
      <c r="C730" s="2" t="s">
        <v>4603</v>
      </c>
      <c r="D730" t="s">
        <v>6144</v>
      </c>
      <c r="E730" s="2">
        <v>3</v>
      </c>
      <c r="F730" s="2" t="str">
        <f>_xlfn.XLOOKUP(orders!C730,customers!$A$1:$A$1001,customers!$B$1:$B$1001,,0)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9">
        <f>INDEX(products!$A$1:$G$49,MATCH(orders!$D730,products!$A$1:$A$49,0),MATCH(orders!K$1,products!$A$1:$G$1,0))</f>
        <v>0.5</v>
      </c>
      <c r="L730" s="10">
        <f>INDEX(products!$A$1:$G$49,MATCH(orders!$D730,products!$A$1:$A$49,0),MATCH(orders!L$1,products!$A$1:$G$1,0))</f>
        <v>7.29</v>
      </c>
      <c r="M730" s="10">
        <f t="shared" si="33"/>
        <v>21.87</v>
      </c>
      <c r="N730" t="str">
        <f t="shared" si="34"/>
        <v>Excelsa</v>
      </c>
      <c r="O730" t="str">
        <f t="shared" si="35"/>
        <v>Dark</v>
      </c>
      <c r="P730" t="str">
        <f>_xlfn.XLOOKUP(Table1[[#This Row],[Customer ID]],customers!$A$1:$A$1001,customers!$I$1:$I$1001,,0)</f>
        <v>Yes</v>
      </c>
    </row>
    <row r="731" spans="1:16" x14ac:dyDescent="0.25">
      <c r="A731" s="2" t="s">
        <v>4608</v>
      </c>
      <c r="B731" s="8">
        <v>44634</v>
      </c>
      <c r="C731" s="2" t="s">
        <v>4609</v>
      </c>
      <c r="D731" t="s">
        <v>6159</v>
      </c>
      <c r="E731" s="2">
        <v>1</v>
      </c>
      <c r="F731" s="2" t="str">
        <f>_xlfn.XLOOKUP(orders!C731,customers!$A$1:$A$1001,customers!$B$1:$B$1001,,0)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9">
        <f>INDEX(products!$A$1:$G$49,MATCH(orders!$D731,products!$A$1:$A$49,0),MATCH(orders!K$1,products!$A$1:$G$1,0))</f>
        <v>0.2</v>
      </c>
      <c r="L731" s="10">
        <f>INDEX(products!$A$1:$G$49,MATCH(orders!$D731,products!$A$1:$A$49,0),MATCH(orders!L$1,products!$A$1:$G$1,0))</f>
        <v>4.3650000000000002</v>
      </c>
      <c r="M731" s="10">
        <f t="shared" si="33"/>
        <v>4.3650000000000002</v>
      </c>
      <c r="N731" t="str">
        <f t="shared" si="34"/>
        <v>Liberica</v>
      </c>
      <c r="O731" t="str">
        <f t="shared" si="35"/>
        <v>Medium</v>
      </c>
      <c r="P731" t="str">
        <f>_xlfn.XLOOKUP(Table1[[#This Row],[Customer ID]],customers!$A$1:$A$1001,customers!$I$1:$I$1001,,0)</f>
        <v>No</v>
      </c>
    </row>
    <row r="732" spans="1:16" x14ac:dyDescent="0.25">
      <c r="A732" s="2" t="s">
        <v>4614</v>
      </c>
      <c r="B732" s="8">
        <v>43475</v>
      </c>
      <c r="C732" s="2" t="s">
        <v>4615</v>
      </c>
      <c r="D732" t="s">
        <v>6164</v>
      </c>
      <c r="E732" s="2">
        <v>1</v>
      </c>
      <c r="F732" s="2" t="str">
        <f>_xlfn.XLOOKUP(orders!C732,customers!$A$1:$A$1001,customers!$B$1:$B$1001,,0)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9">
        <f>INDEX(products!$A$1:$G$49,MATCH(orders!$D732,products!$A$1:$A$49,0),MATCH(orders!K$1,products!$A$1:$G$1,0))</f>
        <v>2.5</v>
      </c>
      <c r="L732" s="10">
        <f>INDEX(products!$A$1:$G$49,MATCH(orders!$D732,products!$A$1:$A$49,0),MATCH(orders!L$1,products!$A$1:$G$1,0))</f>
        <v>36.454999999999998</v>
      </c>
      <c r="M732" s="10">
        <f t="shared" si="33"/>
        <v>36.454999999999998</v>
      </c>
      <c r="N732" t="str">
        <f t="shared" si="34"/>
        <v>Liberica</v>
      </c>
      <c r="O732" t="str">
        <f t="shared" si="35"/>
        <v>Light</v>
      </c>
      <c r="P732" t="str">
        <f>_xlfn.XLOOKUP(Table1[[#This Row],[Customer ID]],customers!$A$1:$A$1001,customers!$I$1:$I$1001,,0)</f>
        <v>No</v>
      </c>
    </row>
    <row r="733" spans="1:16" x14ac:dyDescent="0.25">
      <c r="A733" s="2" t="s">
        <v>4620</v>
      </c>
      <c r="B733" s="8">
        <v>44222</v>
      </c>
      <c r="C733" s="2" t="s">
        <v>4621</v>
      </c>
      <c r="D733" t="s">
        <v>6150</v>
      </c>
      <c r="E733" s="2">
        <v>4</v>
      </c>
      <c r="F733" s="2" t="str">
        <f>_xlfn.XLOOKUP(orders!C733,customers!$A$1:$A$1001,customers!$B$1:$B$1001,,0)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9">
        <f>INDEX(products!$A$1:$G$49,MATCH(orders!$D733,products!$A$1:$A$49,0),MATCH(orders!K$1,products!$A$1:$G$1,0))</f>
        <v>0.2</v>
      </c>
      <c r="L733" s="10">
        <f>INDEX(products!$A$1:$G$49,MATCH(orders!$D733,products!$A$1:$A$49,0),MATCH(orders!L$1,products!$A$1:$G$1,0))</f>
        <v>3.8849999999999998</v>
      </c>
      <c r="M733" s="10">
        <f t="shared" si="33"/>
        <v>15.54</v>
      </c>
      <c r="N733" t="str">
        <f t="shared" si="34"/>
        <v>Liberica</v>
      </c>
      <c r="O733" t="str">
        <f t="shared" si="35"/>
        <v>Dark</v>
      </c>
      <c r="P733" t="str">
        <f>_xlfn.XLOOKUP(Table1[[#This Row],[Customer ID]],customers!$A$1:$A$1001,customers!$I$1:$I$1001,,0)</f>
        <v>Yes</v>
      </c>
    </row>
    <row r="734" spans="1:16" x14ac:dyDescent="0.25">
      <c r="A734" s="2" t="s">
        <v>4625</v>
      </c>
      <c r="B734" s="8">
        <v>44312</v>
      </c>
      <c r="C734" s="2" t="s">
        <v>4626</v>
      </c>
      <c r="D734" t="s">
        <v>6184</v>
      </c>
      <c r="E734" s="2">
        <v>2</v>
      </c>
      <c r="F734" s="2" t="str">
        <f>_xlfn.XLOOKUP(orders!C734,customers!$A$1:$A$1001,customers!$B$1:$B$1001,,0)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9">
        <f>INDEX(products!$A$1:$G$49,MATCH(orders!$D734,products!$A$1:$A$49,0),MATCH(orders!K$1,products!$A$1:$G$1,0))</f>
        <v>0.2</v>
      </c>
      <c r="L734" s="10">
        <f>INDEX(products!$A$1:$G$49,MATCH(orders!$D734,products!$A$1:$A$49,0),MATCH(orders!L$1,products!$A$1:$G$1,0))</f>
        <v>4.4550000000000001</v>
      </c>
      <c r="M734" s="10">
        <f t="shared" si="33"/>
        <v>8.91</v>
      </c>
      <c r="N734" t="str">
        <f t="shared" si="34"/>
        <v>Excelsa</v>
      </c>
      <c r="O734" t="str">
        <f t="shared" si="35"/>
        <v>Light</v>
      </c>
      <c r="P734" t="str">
        <f>_xlfn.XLOOKUP(Table1[[#This Row],[Customer ID]],customers!$A$1:$A$1001,customers!$I$1:$I$1001,,0)</f>
        <v>No</v>
      </c>
    </row>
    <row r="735" spans="1:16" x14ac:dyDescent="0.25">
      <c r="A735" s="2" t="s">
        <v>4631</v>
      </c>
      <c r="B735" s="8">
        <v>44565</v>
      </c>
      <c r="C735" s="2" t="s">
        <v>4632</v>
      </c>
      <c r="D735" t="s">
        <v>6181</v>
      </c>
      <c r="E735" s="2">
        <v>3</v>
      </c>
      <c r="F735" s="2" t="str">
        <f>_xlfn.XLOOKUP(orders!C735,customers!$A$1:$A$1001,customers!$B$1:$B$1001,,0)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9">
        <f>INDEX(products!$A$1:$G$49,MATCH(orders!$D735,products!$A$1:$A$49,0),MATCH(orders!K$1,products!$A$1:$G$1,0))</f>
        <v>2.5</v>
      </c>
      <c r="L735" s="10">
        <f>INDEX(products!$A$1:$G$49,MATCH(orders!$D735,products!$A$1:$A$49,0),MATCH(orders!L$1,products!$A$1:$G$1,0))</f>
        <v>33.464999999999996</v>
      </c>
      <c r="M735" s="10">
        <f t="shared" si="33"/>
        <v>100.39499999999998</v>
      </c>
      <c r="N735" t="str">
        <f t="shared" si="34"/>
        <v>Liberica</v>
      </c>
      <c r="O735" t="str">
        <f t="shared" si="35"/>
        <v>Medium</v>
      </c>
      <c r="P735" t="str">
        <f>_xlfn.XLOOKUP(Table1[[#This Row],[Customer ID]],customers!$A$1:$A$1001,customers!$I$1:$I$1001,,0)</f>
        <v>Yes</v>
      </c>
    </row>
    <row r="736" spans="1:16" x14ac:dyDescent="0.25">
      <c r="A736" s="2" t="s">
        <v>4637</v>
      </c>
      <c r="B736" s="8">
        <v>43697</v>
      </c>
      <c r="C736" s="2" t="s">
        <v>4638</v>
      </c>
      <c r="D736" t="s">
        <v>6163</v>
      </c>
      <c r="E736" s="2">
        <v>5</v>
      </c>
      <c r="F736" s="2" t="str">
        <f>_xlfn.XLOOKUP(orders!C736,customers!$A$1:$A$1001,customers!$B$1:$B$1001,,0)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9">
        <f>INDEX(products!$A$1:$G$49,MATCH(orders!$D736,products!$A$1:$A$49,0),MATCH(orders!K$1,products!$A$1:$G$1,0))</f>
        <v>0.2</v>
      </c>
      <c r="L736" s="10">
        <f>INDEX(products!$A$1:$G$49,MATCH(orders!$D736,products!$A$1:$A$49,0),MATCH(orders!L$1,products!$A$1:$G$1,0))</f>
        <v>2.6849999999999996</v>
      </c>
      <c r="M736" s="10">
        <f t="shared" si="33"/>
        <v>13.424999999999997</v>
      </c>
      <c r="N736" t="str">
        <f t="shared" si="34"/>
        <v>Robusta</v>
      </c>
      <c r="O736" t="str">
        <f t="shared" si="35"/>
        <v>Dark</v>
      </c>
      <c r="P736" t="str">
        <f>_xlfn.XLOOKUP(Table1[[#This Row],[Customer ID]],customers!$A$1:$A$1001,customers!$I$1:$I$1001,,0)</f>
        <v>No</v>
      </c>
    </row>
    <row r="737" spans="1:16" x14ac:dyDescent="0.25">
      <c r="A737" s="2" t="s">
        <v>4642</v>
      </c>
      <c r="B737" s="8">
        <v>44757</v>
      </c>
      <c r="C737" s="2" t="s">
        <v>4643</v>
      </c>
      <c r="D737" t="s">
        <v>6153</v>
      </c>
      <c r="E737" s="2">
        <v>6</v>
      </c>
      <c r="F737" s="2" t="str">
        <f>_xlfn.XLOOKUP(orders!C737,customers!$A$1:$A$1001,customers!$B$1:$B$1001,,0)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9">
        <f>INDEX(products!$A$1:$G$49,MATCH(orders!$D737,products!$A$1:$A$49,0),MATCH(orders!K$1,products!$A$1:$G$1,0))</f>
        <v>0.2</v>
      </c>
      <c r="L737" s="10">
        <f>INDEX(products!$A$1:$G$49,MATCH(orders!$D737,products!$A$1:$A$49,0),MATCH(orders!L$1,products!$A$1:$G$1,0))</f>
        <v>3.645</v>
      </c>
      <c r="M737" s="10">
        <f t="shared" si="33"/>
        <v>21.87</v>
      </c>
      <c r="N737" t="str">
        <f t="shared" si="34"/>
        <v>Excelsa</v>
      </c>
      <c r="O737" t="str">
        <f t="shared" si="35"/>
        <v>Dark</v>
      </c>
      <c r="P737" t="str">
        <f>_xlfn.XLOOKUP(Table1[[#This Row],[Customer ID]],customers!$A$1:$A$1001,customers!$I$1:$I$1001,,0)</f>
        <v>No</v>
      </c>
    </row>
    <row r="738" spans="1:16" x14ac:dyDescent="0.25">
      <c r="A738" s="2" t="s">
        <v>4647</v>
      </c>
      <c r="B738" s="8">
        <v>43508</v>
      </c>
      <c r="C738" s="2" t="s">
        <v>4648</v>
      </c>
      <c r="D738" t="s">
        <v>6143</v>
      </c>
      <c r="E738" s="2">
        <v>2</v>
      </c>
      <c r="F738" s="2" t="str">
        <f>_xlfn.XLOOKUP(orders!C738,customers!$A$1:$A$1001,customers!$B$1:$B$1001,,0)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9">
        <f>INDEX(products!$A$1:$G$49,MATCH(orders!$D738,products!$A$1:$A$49,0),MATCH(orders!K$1,products!$A$1:$G$1,0))</f>
        <v>1</v>
      </c>
      <c r="L738" s="10">
        <f>INDEX(products!$A$1:$G$49,MATCH(orders!$D738,products!$A$1:$A$49,0),MATCH(orders!L$1,products!$A$1:$G$1,0))</f>
        <v>12.95</v>
      </c>
      <c r="M738" s="10">
        <f t="shared" si="33"/>
        <v>25.9</v>
      </c>
      <c r="N738" t="str">
        <f t="shared" si="34"/>
        <v>Liberica</v>
      </c>
      <c r="O738" t="str">
        <f t="shared" si="35"/>
        <v>Dark</v>
      </c>
      <c r="P738" t="str">
        <f>_xlfn.XLOOKUP(Table1[[#This Row],[Customer ID]],customers!$A$1:$A$1001,customers!$I$1:$I$1001,,0)</f>
        <v>Yes</v>
      </c>
    </row>
    <row r="739" spans="1:16" x14ac:dyDescent="0.25">
      <c r="A739" s="2" t="s">
        <v>4653</v>
      </c>
      <c r="B739" s="8">
        <v>44447</v>
      </c>
      <c r="C739" s="2" t="s">
        <v>4654</v>
      </c>
      <c r="D739" t="s">
        <v>6155</v>
      </c>
      <c r="E739" s="2">
        <v>5</v>
      </c>
      <c r="F739" s="2" t="str">
        <f>_xlfn.XLOOKUP(orders!C739,customers!$A$1:$A$1001,customers!$B$1:$B$1001,,0)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9">
        <f>INDEX(products!$A$1:$G$49,MATCH(orders!$D739,products!$A$1:$A$49,0),MATCH(orders!K$1,products!$A$1:$G$1,0))</f>
        <v>1</v>
      </c>
      <c r="L739" s="10">
        <f>INDEX(products!$A$1:$G$49,MATCH(orders!$D739,products!$A$1:$A$49,0),MATCH(orders!L$1,products!$A$1:$G$1,0))</f>
        <v>11.25</v>
      </c>
      <c r="M739" s="10">
        <f t="shared" si="33"/>
        <v>56.25</v>
      </c>
      <c r="N739" t="str">
        <f t="shared" si="34"/>
        <v>Arabica</v>
      </c>
      <c r="O739" t="str">
        <f t="shared" si="35"/>
        <v>Medium</v>
      </c>
      <c r="P739" t="str">
        <f>_xlfn.XLOOKUP(Table1[[#This Row],[Customer ID]],customers!$A$1:$A$1001,customers!$I$1:$I$1001,,0)</f>
        <v>No</v>
      </c>
    </row>
    <row r="740" spans="1:16" x14ac:dyDescent="0.25">
      <c r="A740" s="2" t="s">
        <v>4659</v>
      </c>
      <c r="B740" s="8">
        <v>43812</v>
      </c>
      <c r="C740" s="2" t="s">
        <v>4660</v>
      </c>
      <c r="D740" t="s">
        <v>6178</v>
      </c>
      <c r="E740" s="2">
        <v>3</v>
      </c>
      <c r="F740" s="2" t="str">
        <f>_xlfn.XLOOKUP(orders!C740,customers!$A$1:$A$1001,customers!$B$1:$B$1001,,0)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9">
        <f>INDEX(products!$A$1:$G$49,MATCH(orders!$D740,products!$A$1:$A$49,0),MATCH(orders!K$1,products!$A$1:$G$1,0))</f>
        <v>0.2</v>
      </c>
      <c r="L740" s="10">
        <f>INDEX(products!$A$1:$G$49,MATCH(orders!$D740,products!$A$1:$A$49,0),MATCH(orders!L$1,products!$A$1:$G$1,0))</f>
        <v>3.5849999999999995</v>
      </c>
      <c r="M740" s="10">
        <f t="shared" si="33"/>
        <v>10.754999999999999</v>
      </c>
      <c r="N740" t="str">
        <f t="shared" si="34"/>
        <v>Robusta</v>
      </c>
      <c r="O740" t="str">
        <f t="shared" si="35"/>
        <v>Light</v>
      </c>
      <c r="P740" t="str">
        <f>_xlfn.XLOOKUP(Table1[[#This Row],[Customer ID]],customers!$A$1:$A$1001,customers!$I$1:$I$1001,,0)</f>
        <v>No</v>
      </c>
    </row>
    <row r="741" spans="1:16" x14ac:dyDescent="0.25">
      <c r="A741" s="2" t="s">
        <v>4665</v>
      </c>
      <c r="B741" s="8">
        <v>44433</v>
      </c>
      <c r="C741" s="2" t="s">
        <v>4434</v>
      </c>
      <c r="D741" t="s">
        <v>6153</v>
      </c>
      <c r="E741" s="2">
        <v>5</v>
      </c>
      <c r="F741" s="2" t="str">
        <f>_xlfn.XLOOKUP(orders!C741,customers!$A$1:$A$1001,customers!$B$1:$B$1001,,0)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9">
        <f>INDEX(products!$A$1:$G$49,MATCH(orders!$D741,products!$A$1:$A$49,0),MATCH(orders!K$1,products!$A$1:$G$1,0))</f>
        <v>0.2</v>
      </c>
      <c r="L741" s="10">
        <f>INDEX(products!$A$1:$G$49,MATCH(orders!$D741,products!$A$1:$A$49,0),MATCH(orders!L$1,products!$A$1:$G$1,0))</f>
        <v>3.645</v>
      </c>
      <c r="M741" s="10">
        <f t="shared" si="33"/>
        <v>18.225000000000001</v>
      </c>
      <c r="N741" t="str">
        <f t="shared" si="34"/>
        <v>Excelsa</v>
      </c>
      <c r="O741" t="str">
        <f t="shared" si="35"/>
        <v>Dark</v>
      </c>
      <c r="P741" t="str">
        <f>_xlfn.XLOOKUP(Table1[[#This Row],[Customer ID]],customers!$A$1:$A$1001,customers!$I$1:$I$1001,,0)</f>
        <v>No</v>
      </c>
    </row>
    <row r="742" spans="1:16" x14ac:dyDescent="0.25">
      <c r="A742" s="2" t="s">
        <v>4670</v>
      </c>
      <c r="B742" s="8">
        <v>44643</v>
      </c>
      <c r="C742" s="2" t="s">
        <v>4671</v>
      </c>
      <c r="D742" t="s">
        <v>6173</v>
      </c>
      <c r="E742" s="2">
        <v>4</v>
      </c>
      <c r="F742" s="2" t="str">
        <f>_xlfn.XLOOKUP(orders!C742,customers!$A$1:$A$1001,customers!$B$1:$B$1001,,0)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9">
        <f>INDEX(products!$A$1:$G$49,MATCH(orders!$D742,products!$A$1:$A$49,0),MATCH(orders!K$1,products!$A$1:$G$1,0))</f>
        <v>0.5</v>
      </c>
      <c r="L742" s="10">
        <f>INDEX(products!$A$1:$G$49,MATCH(orders!$D742,products!$A$1:$A$49,0),MATCH(orders!L$1,products!$A$1:$G$1,0))</f>
        <v>7.169999999999999</v>
      </c>
      <c r="M742" s="10">
        <f t="shared" si="33"/>
        <v>28.679999999999996</v>
      </c>
      <c r="N742" t="str">
        <f t="shared" si="34"/>
        <v>Robusta</v>
      </c>
      <c r="O742" t="str">
        <f t="shared" si="35"/>
        <v>Light</v>
      </c>
      <c r="P742" t="str">
        <f>_xlfn.XLOOKUP(Table1[[#This Row],[Customer ID]],customers!$A$1:$A$1001,customers!$I$1:$I$1001,,0)</f>
        <v>No</v>
      </c>
    </row>
    <row r="743" spans="1:16" x14ac:dyDescent="0.25">
      <c r="A743" s="2" t="s">
        <v>4676</v>
      </c>
      <c r="B743" s="8">
        <v>43566</v>
      </c>
      <c r="C743" s="2" t="s">
        <v>4677</v>
      </c>
      <c r="D743" t="s">
        <v>6159</v>
      </c>
      <c r="E743" s="2">
        <v>2</v>
      </c>
      <c r="F743" s="2" t="str">
        <f>_xlfn.XLOOKUP(orders!C743,customers!$A$1:$A$1001,customers!$B$1:$B$1001,,0)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9">
        <f>INDEX(products!$A$1:$G$49,MATCH(orders!$D743,products!$A$1:$A$49,0),MATCH(orders!K$1,products!$A$1:$G$1,0))</f>
        <v>0.2</v>
      </c>
      <c r="L743" s="10">
        <f>INDEX(products!$A$1:$G$49,MATCH(orders!$D743,products!$A$1:$A$49,0),MATCH(orders!L$1,products!$A$1:$G$1,0))</f>
        <v>4.3650000000000002</v>
      </c>
      <c r="M743" s="10">
        <f t="shared" si="33"/>
        <v>8.73</v>
      </c>
      <c r="N743" t="str">
        <f t="shared" si="34"/>
        <v>Liberica</v>
      </c>
      <c r="O743" t="str">
        <f t="shared" si="35"/>
        <v>Medium</v>
      </c>
      <c r="P743" t="str">
        <f>_xlfn.XLOOKUP(Table1[[#This Row],[Customer ID]],customers!$A$1:$A$1001,customers!$I$1:$I$1001,,0)</f>
        <v>No</v>
      </c>
    </row>
    <row r="744" spans="1:16" x14ac:dyDescent="0.25">
      <c r="A744" s="2" t="s">
        <v>4682</v>
      </c>
      <c r="B744" s="8">
        <v>44133</v>
      </c>
      <c r="C744" s="2" t="s">
        <v>4683</v>
      </c>
      <c r="D744" t="s">
        <v>6162</v>
      </c>
      <c r="E744" s="2">
        <v>4</v>
      </c>
      <c r="F744" s="2" t="str">
        <f>_xlfn.XLOOKUP(orders!C744,customers!$A$1:$A$1001,customers!$B$1:$B$1001,,0)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9">
        <f>INDEX(products!$A$1:$G$49,MATCH(orders!$D744,products!$A$1:$A$49,0),MATCH(orders!K$1,products!$A$1:$G$1,0))</f>
        <v>1</v>
      </c>
      <c r="L744" s="10">
        <f>INDEX(products!$A$1:$G$49,MATCH(orders!$D744,products!$A$1:$A$49,0),MATCH(orders!L$1,products!$A$1:$G$1,0))</f>
        <v>14.55</v>
      </c>
      <c r="M744" s="10">
        <f t="shared" si="33"/>
        <v>58.2</v>
      </c>
      <c r="N744" t="str">
        <f t="shared" si="34"/>
        <v>Liberica</v>
      </c>
      <c r="O744" t="str">
        <f t="shared" si="35"/>
        <v>Medium</v>
      </c>
      <c r="P744" t="str">
        <f>_xlfn.XLOOKUP(Table1[[#This Row],[Customer ID]],customers!$A$1:$A$1001,customers!$I$1:$I$1001,,0)</f>
        <v>No</v>
      </c>
    </row>
    <row r="745" spans="1:16" x14ac:dyDescent="0.25">
      <c r="A745" s="2" t="s">
        <v>4688</v>
      </c>
      <c r="B745" s="8">
        <v>44042</v>
      </c>
      <c r="C745" s="2" t="s">
        <v>4689</v>
      </c>
      <c r="D745" t="s">
        <v>6158</v>
      </c>
      <c r="E745" s="2">
        <v>3</v>
      </c>
      <c r="F745" s="2" t="str">
        <f>_xlfn.XLOOKUP(orders!C745,customers!$A$1:$A$1001,customers!$B$1:$B$1001,,0)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9">
        <f>INDEX(products!$A$1:$G$49,MATCH(orders!$D745,products!$A$1:$A$49,0),MATCH(orders!K$1,products!$A$1:$G$1,0))</f>
        <v>0.5</v>
      </c>
      <c r="L745" s="10">
        <f>INDEX(products!$A$1:$G$49,MATCH(orders!$D745,products!$A$1:$A$49,0),MATCH(orders!L$1,products!$A$1:$G$1,0))</f>
        <v>5.97</v>
      </c>
      <c r="M745" s="10">
        <f t="shared" si="33"/>
        <v>17.91</v>
      </c>
      <c r="N745" t="str">
        <f t="shared" si="34"/>
        <v>Arabica</v>
      </c>
      <c r="O745" t="str">
        <f t="shared" si="35"/>
        <v>Dark</v>
      </c>
      <c r="P745" t="str">
        <f>_xlfn.XLOOKUP(Table1[[#This Row],[Customer ID]],customers!$A$1:$A$1001,customers!$I$1:$I$1001,,0)</f>
        <v>No</v>
      </c>
    </row>
    <row r="746" spans="1:16" x14ac:dyDescent="0.25">
      <c r="A746" s="2" t="s">
        <v>4694</v>
      </c>
      <c r="B746" s="8">
        <v>43539</v>
      </c>
      <c r="C746" s="2" t="s">
        <v>4695</v>
      </c>
      <c r="D746" t="s">
        <v>6174</v>
      </c>
      <c r="E746" s="2">
        <v>6</v>
      </c>
      <c r="F746" s="2" t="str">
        <f>_xlfn.XLOOKUP(orders!C746,customers!$A$1:$A$1001,customers!$B$1:$B$1001,,0)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9">
        <f>INDEX(products!$A$1:$G$49,MATCH(orders!$D746,products!$A$1:$A$49,0),MATCH(orders!K$1,products!$A$1:$G$1,0))</f>
        <v>0.2</v>
      </c>
      <c r="L746" s="10">
        <f>INDEX(products!$A$1:$G$49,MATCH(orders!$D746,products!$A$1:$A$49,0),MATCH(orders!L$1,products!$A$1:$G$1,0))</f>
        <v>2.9849999999999999</v>
      </c>
      <c r="M746" s="10">
        <f t="shared" si="33"/>
        <v>17.91</v>
      </c>
      <c r="N746" t="str">
        <f t="shared" si="34"/>
        <v>Robusta</v>
      </c>
      <c r="O746" t="str">
        <f t="shared" si="35"/>
        <v>Medium</v>
      </c>
      <c r="P746" t="str">
        <f>_xlfn.XLOOKUP(Table1[[#This Row],[Customer ID]],customers!$A$1:$A$1001,customers!$I$1:$I$1001,,0)</f>
        <v>Yes</v>
      </c>
    </row>
    <row r="747" spans="1:16" x14ac:dyDescent="0.25">
      <c r="A747" s="2" t="s">
        <v>4699</v>
      </c>
      <c r="B747" s="8">
        <v>44557</v>
      </c>
      <c r="C747" s="2" t="s">
        <v>4700</v>
      </c>
      <c r="D747" t="s">
        <v>6144</v>
      </c>
      <c r="E747" s="2">
        <v>2</v>
      </c>
      <c r="F747" s="2" t="str">
        <f>_xlfn.XLOOKUP(orders!C747,customers!$A$1:$A$1001,customers!$B$1:$B$1001,,0)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9">
        <f>INDEX(products!$A$1:$G$49,MATCH(orders!$D747,products!$A$1:$A$49,0),MATCH(orders!K$1,products!$A$1:$G$1,0))</f>
        <v>0.5</v>
      </c>
      <c r="L747" s="10">
        <f>INDEX(products!$A$1:$G$49,MATCH(orders!$D747,products!$A$1:$A$49,0),MATCH(orders!L$1,products!$A$1:$G$1,0))</f>
        <v>7.29</v>
      </c>
      <c r="M747" s="10">
        <f t="shared" si="33"/>
        <v>14.58</v>
      </c>
      <c r="N747" t="str">
        <f t="shared" si="34"/>
        <v>Excelsa</v>
      </c>
      <c r="O747" t="str">
        <f t="shared" si="35"/>
        <v>Dark</v>
      </c>
      <c r="P747" t="str">
        <f>_xlfn.XLOOKUP(Table1[[#This Row],[Customer ID]],customers!$A$1:$A$1001,customers!$I$1:$I$1001,,0)</f>
        <v>No</v>
      </c>
    </row>
    <row r="748" spans="1:16" x14ac:dyDescent="0.25">
      <c r="A748" s="2" t="s">
        <v>4705</v>
      </c>
      <c r="B748" s="8">
        <v>43741</v>
      </c>
      <c r="C748" s="2" t="s">
        <v>4706</v>
      </c>
      <c r="D748" t="s">
        <v>6155</v>
      </c>
      <c r="E748" s="2">
        <v>3</v>
      </c>
      <c r="F748" s="2" t="str">
        <f>_xlfn.XLOOKUP(orders!C748,customers!$A$1:$A$1001,customers!$B$1:$B$1001,,0)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9">
        <f>INDEX(products!$A$1:$G$49,MATCH(orders!$D748,products!$A$1:$A$49,0),MATCH(orders!K$1,products!$A$1:$G$1,0))</f>
        <v>1</v>
      </c>
      <c r="L748" s="10">
        <f>INDEX(products!$A$1:$G$49,MATCH(orders!$D748,products!$A$1:$A$49,0),MATCH(orders!L$1,products!$A$1:$G$1,0))</f>
        <v>11.25</v>
      </c>
      <c r="M748" s="10">
        <f t="shared" si="33"/>
        <v>33.75</v>
      </c>
      <c r="N748" t="str">
        <f t="shared" si="34"/>
        <v>Arabica</v>
      </c>
      <c r="O748" t="str">
        <f t="shared" si="35"/>
        <v>Medium</v>
      </c>
      <c r="P748" t="str">
        <f>_xlfn.XLOOKUP(Table1[[#This Row],[Customer ID]],customers!$A$1:$A$1001,customers!$I$1:$I$1001,,0)</f>
        <v>No</v>
      </c>
    </row>
    <row r="749" spans="1:16" x14ac:dyDescent="0.25">
      <c r="A749" s="2" t="s">
        <v>4711</v>
      </c>
      <c r="B749" s="8">
        <v>43501</v>
      </c>
      <c r="C749" s="2" t="s">
        <v>4712</v>
      </c>
      <c r="D749" t="s">
        <v>6160</v>
      </c>
      <c r="E749" s="2">
        <v>4</v>
      </c>
      <c r="F749" s="2" t="str">
        <f>_xlfn.XLOOKUP(orders!C749,customers!$A$1:$A$1001,customers!$B$1:$B$1001,,0)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9">
        <f>INDEX(products!$A$1:$G$49,MATCH(orders!$D749,products!$A$1:$A$49,0),MATCH(orders!K$1,products!$A$1:$G$1,0))</f>
        <v>0.5</v>
      </c>
      <c r="L749" s="10">
        <f>INDEX(products!$A$1:$G$49,MATCH(orders!$D749,products!$A$1:$A$49,0),MATCH(orders!L$1,products!$A$1:$G$1,0))</f>
        <v>8.73</v>
      </c>
      <c r="M749" s="10">
        <f t="shared" si="33"/>
        <v>34.92</v>
      </c>
      <c r="N749" t="str">
        <f t="shared" si="34"/>
        <v>Liberica</v>
      </c>
      <c r="O749" t="str">
        <f t="shared" si="35"/>
        <v>Medium</v>
      </c>
      <c r="P749" t="str">
        <f>_xlfn.XLOOKUP(Table1[[#This Row],[Customer ID]],customers!$A$1:$A$1001,customers!$I$1:$I$1001,,0)</f>
        <v>Yes</v>
      </c>
    </row>
    <row r="750" spans="1:16" x14ac:dyDescent="0.25">
      <c r="A750" s="2" t="s">
        <v>4717</v>
      </c>
      <c r="B750" s="8">
        <v>44074</v>
      </c>
      <c r="C750" s="2" t="s">
        <v>4718</v>
      </c>
      <c r="D750" t="s">
        <v>6144</v>
      </c>
      <c r="E750" s="2">
        <v>2</v>
      </c>
      <c r="F750" s="2" t="str">
        <f>_xlfn.XLOOKUP(orders!C750,customers!$A$1:$A$1001,customers!$B$1:$B$1001,,0)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9">
        <f>INDEX(products!$A$1:$G$49,MATCH(orders!$D750,products!$A$1:$A$49,0),MATCH(orders!K$1,products!$A$1:$G$1,0))</f>
        <v>0.5</v>
      </c>
      <c r="L750" s="10">
        <f>INDEX(products!$A$1:$G$49,MATCH(orders!$D750,products!$A$1:$A$49,0),MATCH(orders!L$1,products!$A$1:$G$1,0))</f>
        <v>7.29</v>
      </c>
      <c r="M750" s="10">
        <f t="shared" si="33"/>
        <v>14.58</v>
      </c>
      <c r="N750" t="str">
        <f t="shared" si="34"/>
        <v>Excelsa</v>
      </c>
      <c r="O750" t="str">
        <f t="shared" si="35"/>
        <v>Dark</v>
      </c>
      <c r="P750" t="str">
        <f>_xlfn.XLOOKUP(Table1[[#This Row],[Customer ID]],customers!$A$1:$A$1001,customers!$I$1:$I$1001,,0)</f>
        <v>No</v>
      </c>
    </row>
    <row r="751" spans="1:16" x14ac:dyDescent="0.25">
      <c r="A751" s="2" t="s">
        <v>4723</v>
      </c>
      <c r="B751" s="8">
        <v>44209</v>
      </c>
      <c r="C751" s="2" t="s">
        <v>4724</v>
      </c>
      <c r="D751" t="s">
        <v>6163</v>
      </c>
      <c r="E751" s="2">
        <v>2</v>
      </c>
      <c r="F751" s="2" t="str">
        <f>_xlfn.XLOOKUP(orders!C751,customers!$A$1:$A$1001,customers!$B$1:$B$1001,,0)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9">
        <f>INDEX(products!$A$1:$G$49,MATCH(orders!$D751,products!$A$1:$A$49,0),MATCH(orders!K$1,products!$A$1:$G$1,0))</f>
        <v>0.2</v>
      </c>
      <c r="L751" s="10">
        <f>INDEX(products!$A$1:$G$49,MATCH(orders!$D751,products!$A$1:$A$49,0),MATCH(orders!L$1,products!$A$1:$G$1,0))</f>
        <v>2.6849999999999996</v>
      </c>
      <c r="M751" s="10">
        <f t="shared" si="33"/>
        <v>5.3699999999999992</v>
      </c>
      <c r="N751" t="str">
        <f t="shared" si="34"/>
        <v>Robusta</v>
      </c>
      <c r="O751" t="str">
        <f t="shared" si="35"/>
        <v>Dark</v>
      </c>
      <c r="P751" t="str">
        <f>_xlfn.XLOOKUP(Table1[[#This Row],[Customer ID]],customers!$A$1:$A$1001,customers!$I$1:$I$1001,,0)</f>
        <v>Yes</v>
      </c>
    </row>
    <row r="752" spans="1:16" x14ac:dyDescent="0.25">
      <c r="A752" s="2" t="s">
        <v>4730</v>
      </c>
      <c r="B752" s="8">
        <v>44277</v>
      </c>
      <c r="C752" s="2" t="s">
        <v>4731</v>
      </c>
      <c r="D752" t="s">
        <v>6146</v>
      </c>
      <c r="E752" s="2">
        <v>1</v>
      </c>
      <c r="F752" s="2" t="str">
        <f>_xlfn.XLOOKUP(orders!C752,customers!$A$1:$A$1001,customers!$B$1:$B$1001,,0)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9">
        <f>INDEX(products!$A$1:$G$49,MATCH(orders!$D752,products!$A$1:$A$49,0),MATCH(orders!K$1,products!$A$1:$G$1,0))</f>
        <v>0.5</v>
      </c>
      <c r="L752" s="10">
        <f>INDEX(products!$A$1:$G$49,MATCH(orders!$D752,products!$A$1:$A$49,0),MATCH(orders!L$1,products!$A$1:$G$1,0))</f>
        <v>5.97</v>
      </c>
      <c r="M752" s="10">
        <f t="shared" si="33"/>
        <v>5.97</v>
      </c>
      <c r="N752" t="str">
        <f t="shared" si="34"/>
        <v>Robusta</v>
      </c>
      <c r="O752" t="str">
        <f t="shared" si="35"/>
        <v>Medium</v>
      </c>
      <c r="P752" t="str">
        <f>_xlfn.XLOOKUP(Table1[[#This Row],[Customer ID]],customers!$A$1:$A$1001,customers!$I$1:$I$1001,,0)</f>
        <v>Yes</v>
      </c>
    </row>
    <row r="753" spans="1:16" x14ac:dyDescent="0.25">
      <c r="A753" s="2" t="s">
        <v>4735</v>
      </c>
      <c r="B753" s="8">
        <v>43847</v>
      </c>
      <c r="C753" s="2" t="s">
        <v>4736</v>
      </c>
      <c r="D753" t="s">
        <v>6161</v>
      </c>
      <c r="E753" s="2">
        <v>2</v>
      </c>
      <c r="F753" s="2" t="str">
        <f>_xlfn.XLOOKUP(orders!C753,customers!$A$1:$A$1001,customers!$B$1:$B$1001,,0)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9">
        <f>INDEX(products!$A$1:$G$49,MATCH(orders!$D753,products!$A$1:$A$49,0),MATCH(orders!K$1,products!$A$1:$G$1,0))</f>
        <v>0.5</v>
      </c>
      <c r="L753" s="10">
        <f>INDEX(products!$A$1:$G$49,MATCH(orders!$D753,products!$A$1:$A$49,0),MATCH(orders!L$1,products!$A$1:$G$1,0))</f>
        <v>9.51</v>
      </c>
      <c r="M753" s="10">
        <f t="shared" si="33"/>
        <v>19.02</v>
      </c>
      <c r="N753" t="str">
        <f t="shared" si="34"/>
        <v>Liberica</v>
      </c>
      <c r="O753" t="str">
        <f t="shared" si="35"/>
        <v>Light</v>
      </c>
      <c r="P753" t="str">
        <f>_xlfn.XLOOKUP(Table1[[#This Row],[Customer ID]],customers!$A$1:$A$1001,customers!$I$1:$I$1001,,0)</f>
        <v>No</v>
      </c>
    </row>
    <row r="754" spans="1:16" x14ac:dyDescent="0.25">
      <c r="A754" s="2" t="s">
        <v>4741</v>
      </c>
      <c r="B754" s="8">
        <v>43648</v>
      </c>
      <c r="C754" s="2" t="s">
        <v>4742</v>
      </c>
      <c r="D754" t="s">
        <v>6141</v>
      </c>
      <c r="E754" s="2">
        <v>2</v>
      </c>
      <c r="F754" s="2" t="str">
        <f>_xlfn.XLOOKUP(orders!C754,customers!$A$1:$A$1001,customers!$B$1:$B$1001,,0)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9">
        <f>INDEX(products!$A$1:$G$49,MATCH(orders!$D754,products!$A$1:$A$49,0),MATCH(orders!K$1,products!$A$1:$G$1,0))</f>
        <v>1</v>
      </c>
      <c r="L754" s="10">
        <f>INDEX(products!$A$1:$G$49,MATCH(orders!$D754,products!$A$1:$A$49,0),MATCH(orders!L$1,products!$A$1:$G$1,0))</f>
        <v>13.75</v>
      </c>
      <c r="M754" s="10">
        <f t="shared" si="33"/>
        <v>27.5</v>
      </c>
      <c r="N754" t="str">
        <f t="shared" si="34"/>
        <v>Excelsa</v>
      </c>
      <c r="O754" t="str">
        <f t="shared" si="35"/>
        <v>Medium</v>
      </c>
      <c r="P754" t="str">
        <f>_xlfn.XLOOKUP(Table1[[#This Row],[Customer ID]],customers!$A$1:$A$1001,customers!$I$1:$I$1001,,0)</f>
        <v>Yes</v>
      </c>
    </row>
    <row r="755" spans="1:16" x14ac:dyDescent="0.25">
      <c r="A755" s="2" t="s">
        <v>4747</v>
      </c>
      <c r="B755" s="8">
        <v>44704</v>
      </c>
      <c r="C755" s="2" t="s">
        <v>4748</v>
      </c>
      <c r="D755" t="s">
        <v>6158</v>
      </c>
      <c r="E755" s="2">
        <v>5</v>
      </c>
      <c r="F755" s="2" t="str">
        <f>_xlfn.XLOOKUP(orders!C755,customers!$A$1:$A$1001,customers!$B$1:$B$1001,,0)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9">
        <f>INDEX(products!$A$1:$G$49,MATCH(orders!$D755,products!$A$1:$A$49,0),MATCH(orders!K$1,products!$A$1:$G$1,0))</f>
        <v>0.5</v>
      </c>
      <c r="L755" s="10">
        <f>INDEX(products!$A$1:$G$49,MATCH(orders!$D755,products!$A$1:$A$49,0),MATCH(orders!L$1,products!$A$1:$G$1,0))</f>
        <v>5.97</v>
      </c>
      <c r="M755" s="10">
        <f t="shared" si="33"/>
        <v>29.849999999999998</v>
      </c>
      <c r="N755" t="str">
        <f t="shared" si="34"/>
        <v>Arabica</v>
      </c>
      <c r="O755" t="str">
        <f t="shared" si="35"/>
        <v>Dark</v>
      </c>
      <c r="P755" t="str">
        <f>_xlfn.XLOOKUP(Table1[[#This Row],[Customer ID]],customers!$A$1:$A$1001,customers!$I$1:$I$1001,,0)</f>
        <v>No</v>
      </c>
    </row>
    <row r="756" spans="1:16" x14ac:dyDescent="0.25">
      <c r="A756" s="2" t="s">
        <v>4753</v>
      </c>
      <c r="B756" s="8">
        <v>44726</v>
      </c>
      <c r="C756" s="2" t="s">
        <v>4434</v>
      </c>
      <c r="D756" t="s">
        <v>6154</v>
      </c>
      <c r="E756" s="2">
        <v>6</v>
      </c>
      <c r="F756" s="2" t="str">
        <f>_xlfn.XLOOKUP(orders!C756,customers!$A$1:$A$1001,customers!$B$1:$B$1001,,0)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9">
        <f>INDEX(products!$A$1:$G$49,MATCH(orders!$D756,products!$A$1:$A$49,0),MATCH(orders!K$1,products!$A$1:$G$1,0))</f>
        <v>0.2</v>
      </c>
      <c r="L756" s="10">
        <f>INDEX(products!$A$1:$G$49,MATCH(orders!$D756,products!$A$1:$A$49,0),MATCH(orders!L$1,products!$A$1:$G$1,0))</f>
        <v>2.9849999999999999</v>
      </c>
      <c r="M756" s="10">
        <f t="shared" si="33"/>
        <v>17.91</v>
      </c>
      <c r="N756" t="str">
        <f t="shared" si="34"/>
        <v>Arabica</v>
      </c>
      <c r="O756" t="str">
        <f t="shared" si="35"/>
        <v>Dark</v>
      </c>
      <c r="P756" t="str">
        <f>_xlfn.XLOOKUP(Table1[[#This Row],[Customer ID]],customers!$A$1:$A$1001,customers!$I$1:$I$1001,,0)</f>
        <v>No</v>
      </c>
    </row>
    <row r="757" spans="1:16" x14ac:dyDescent="0.25">
      <c r="A757" s="2" t="s">
        <v>4758</v>
      </c>
      <c r="B757" s="8">
        <v>44397</v>
      </c>
      <c r="C757" s="2" t="s">
        <v>4759</v>
      </c>
      <c r="D757" t="s">
        <v>6145</v>
      </c>
      <c r="E757" s="2">
        <v>6</v>
      </c>
      <c r="F757" s="2" t="str">
        <f>_xlfn.XLOOKUP(orders!C757,customers!$A$1:$A$1001,customers!$B$1:$B$1001,,0)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9">
        <f>INDEX(products!$A$1:$G$49,MATCH(orders!$D757,products!$A$1:$A$49,0),MATCH(orders!K$1,products!$A$1:$G$1,0))</f>
        <v>0.2</v>
      </c>
      <c r="L757" s="10">
        <f>INDEX(products!$A$1:$G$49,MATCH(orders!$D757,products!$A$1:$A$49,0),MATCH(orders!L$1,products!$A$1:$G$1,0))</f>
        <v>4.7549999999999999</v>
      </c>
      <c r="M757" s="10">
        <f t="shared" si="33"/>
        <v>28.53</v>
      </c>
      <c r="N757" t="str">
        <f t="shared" si="34"/>
        <v>Liberica</v>
      </c>
      <c r="O757" t="str">
        <f t="shared" si="35"/>
        <v>Light</v>
      </c>
      <c r="P757" t="str">
        <f>_xlfn.XLOOKUP(Table1[[#This Row],[Customer ID]],customers!$A$1:$A$1001,customers!$I$1:$I$1001,,0)</f>
        <v>No</v>
      </c>
    </row>
    <row r="758" spans="1:16" x14ac:dyDescent="0.25">
      <c r="A758" s="2" t="s">
        <v>4764</v>
      </c>
      <c r="B758" s="8">
        <v>44715</v>
      </c>
      <c r="C758" s="2" t="s">
        <v>4765</v>
      </c>
      <c r="D758" t="s">
        <v>6177</v>
      </c>
      <c r="E758" s="2">
        <v>4</v>
      </c>
      <c r="F758" s="2" t="str">
        <f>_xlfn.XLOOKUP(orders!C758,customers!$A$1:$A$1001,customers!$B$1:$B$1001,,0)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9">
        <f>INDEX(products!$A$1:$G$49,MATCH(orders!$D758,products!$A$1:$A$49,0),MATCH(orders!K$1,products!$A$1:$G$1,0))</f>
        <v>1</v>
      </c>
      <c r="L758" s="10">
        <f>INDEX(products!$A$1:$G$49,MATCH(orders!$D758,products!$A$1:$A$49,0),MATCH(orders!L$1,products!$A$1:$G$1,0))</f>
        <v>8.9499999999999993</v>
      </c>
      <c r="M758" s="10">
        <f t="shared" si="33"/>
        <v>35.799999999999997</v>
      </c>
      <c r="N758" t="str">
        <f t="shared" si="34"/>
        <v>Robusta</v>
      </c>
      <c r="O758" t="str">
        <f t="shared" si="35"/>
        <v>Dark</v>
      </c>
      <c r="P758" t="str">
        <f>_xlfn.XLOOKUP(Table1[[#This Row],[Customer ID]],customers!$A$1:$A$1001,customers!$I$1:$I$1001,,0)</f>
        <v>Yes</v>
      </c>
    </row>
    <row r="759" spans="1:16" x14ac:dyDescent="0.25">
      <c r="A759" s="2" t="s">
        <v>4770</v>
      </c>
      <c r="B759" s="8">
        <v>43977</v>
      </c>
      <c r="C759" s="2" t="s">
        <v>4771</v>
      </c>
      <c r="D759" t="s">
        <v>6158</v>
      </c>
      <c r="E759" s="2">
        <v>3</v>
      </c>
      <c r="F759" s="2" t="str">
        <f>_xlfn.XLOOKUP(orders!C759,customers!$A$1:$A$1001,customers!$B$1:$B$1001,,0)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9">
        <f>INDEX(products!$A$1:$G$49,MATCH(orders!$D759,products!$A$1:$A$49,0),MATCH(orders!K$1,products!$A$1:$G$1,0))</f>
        <v>0.5</v>
      </c>
      <c r="L759" s="10">
        <f>INDEX(products!$A$1:$G$49,MATCH(orders!$D759,products!$A$1:$A$49,0),MATCH(orders!L$1,products!$A$1:$G$1,0))</f>
        <v>5.97</v>
      </c>
      <c r="M759" s="10">
        <f t="shared" si="33"/>
        <v>17.91</v>
      </c>
      <c r="N759" t="str">
        <f t="shared" si="34"/>
        <v>Arabica</v>
      </c>
      <c r="O759" t="str">
        <f t="shared" si="35"/>
        <v>Dark</v>
      </c>
      <c r="P759" t="str">
        <f>_xlfn.XLOOKUP(Table1[[#This Row],[Customer ID]],customers!$A$1:$A$1001,customers!$I$1:$I$1001,,0)</f>
        <v>Yes</v>
      </c>
    </row>
    <row r="760" spans="1:16" x14ac:dyDescent="0.25">
      <c r="A760" s="2" t="s">
        <v>4776</v>
      </c>
      <c r="B760" s="8">
        <v>43672</v>
      </c>
      <c r="C760" s="2" t="s">
        <v>4777</v>
      </c>
      <c r="D760" t="s">
        <v>6177</v>
      </c>
      <c r="E760" s="2">
        <v>1</v>
      </c>
      <c r="F760" s="2" t="str">
        <f>_xlfn.XLOOKUP(orders!C760,customers!$A$1:$A$1001,customers!$B$1:$B$1001,,0)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9">
        <f>INDEX(products!$A$1:$G$49,MATCH(orders!$D760,products!$A$1:$A$49,0),MATCH(orders!K$1,products!$A$1:$G$1,0))</f>
        <v>1</v>
      </c>
      <c r="L760" s="10">
        <f>INDEX(products!$A$1:$G$49,MATCH(orders!$D760,products!$A$1:$A$49,0),MATCH(orders!L$1,products!$A$1:$G$1,0))</f>
        <v>8.9499999999999993</v>
      </c>
      <c r="M760" s="10">
        <f t="shared" si="33"/>
        <v>8.9499999999999993</v>
      </c>
      <c r="N760" t="str">
        <f t="shared" si="34"/>
        <v>Robusta</v>
      </c>
      <c r="O760" t="str">
        <f t="shared" si="35"/>
        <v>Dark</v>
      </c>
      <c r="P760" t="str">
        <f>_xlfn.XLOOKUP(Table1[[#This Row],[Customer ID]],customers!$A$1:$A$1001,customers!$I$1:$I$1001,,0)</f>
        <v>No</v>
      </c>
    </row>
    <row r="761" spans="1:16" x14ac:dyDescent="0.25">
      <c r="A761" s="2" t="s">
        <v>4781</v>
      </c>
      <c r="B761" s="8">
        <v>44126</v>
      </c>
      <c r="C761" s="2" t="s">
        <v>4782</v>
      </c>
      <c r="D761" t="s">
        <v>6165</v>
      </c>
      <c r="E761" s="2">
        <v>1</v>
      </c>
      <c r="F761" s="2" t="str">
        <f>_xlfn.XLOOKUP(orders!C761,customers!$A$1:$A$1001,customers!$B$1:$B$1001,,0)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9">
        <f>INDEX(products!$A$1:$G$49,MATCH(orders!$D761,products!$A$1:$A$49,0),MATCH(orders!K$1,products!$A$1:$G$1,0))</f>
        <v>2.5</v>
      </c>
      <c r="L761" s="10">
        <f>INDEX(products!$A$1:$G$49,MATCH(orders!$D761,products!$A$1:$A$49,0),MATCH(orders!L$1,products!$A$1:$G$1,0))</f>
        <v>29.784999999999997</v>
      </c>
      <c r="M761" s="10">
        <f t="shared" si="33"/>
        <v>29.784999999999997</v>
      </c>
      <c r="N761" t="str">
        <f t="shared" si="34"/>
        <v>Liberica</v>
      </c>
      <c r="O761" t="str">
        <f t="shared" si="35"/>
        <v>Dark</v>
      </c>
      <c r="P761" t="str">
        <f>_xlfn.XLOOKUP(Table1[[#This Row],[Customer ID]],customers!$A$1:$A$1001,customers!$I$1:$I$1001,,0)</f>
        <v>Yes</v>
      </c>
    </row>
    <row r="762" spans="1:16" x14ac:dyDescent="0.25">
      <c r="A762" s="2" t="s">
        <v>4787</v>
      </c>
      <c r="B762" s="8">
        <v>44189</v>
      </c>
      <c r="C762" s="2" t="s">
        <v>4788</v>
      </c>
      <c r="D762" t="s">
        <v>6176</v>
      </c>
      <c r="E762" s="2">
        <v>5</v>
      </c>
      <c r="F762" s="2" t="str">
        <f>_xlfn.XLOOKUP(orders!C762,customers!$A$1:$A$1001,customers!$B$1:$B$1001,,0)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9">
        <f>INDEX(products!$A$1:$G$49,MATCH(orders!$D762,products!$A$1:$A$49,0),MATCH(orders!K$1,products!$A$1:$G$1,0))</f>
        <v>0.5</v>
      </c>
      <c r="L762" s="10">
        <f>INDEX(products!$A$1:$G$49,MATCH(orders!$D762,products!$A$1:$A$49,0),MATCH(orders!L$1,products!$A$1:$G$1,0))</f>
        <v>8.91</v>
      </c>
      <c r="M762" s="10">
        <f t="shared" si="33"/>
        <v>44.55</v>
      </c>
      <c r="N762" t="str">
        <f t="shared" si="34"/>
        <v>Excelsa</v>
      </c>
      <c r="O762" t="str">
        <f t="shared" si="35"/>
        <v>Light</v>
      </c>
      <c r="P762" t="str">
        <f>_xlfn.XLOOKUP(Table1[[#This Row],[Customer ID]],customers!$A$1:$A$1001,customers!$I$1:$I$1001,,0)</f>
        <v>No</v>
      </c>
    </row>
    <row r="763" spans="1:16" x14ac:dyDescent="0.25">
      <c r="A763" s="2" t="s">
        <v>4792</v>
      </c>
      <c r="B763" s="8">
        <v>43714</v>
      </c>
      <c r="C763" s="2" t="s">
        <v>4793</v>
      </c>
      <c r="D763" t="s">
        <v>6171</v>
      </c>
      <c r="E763" s="2">
        <v>6</v>
      </c>
      <c r="F763" s="2" t="str">
        <f>_xlfn.XLOOKUP(orders!C763,customers!$A$1:$A$1001,customers!$B$1:$B$1001,,0)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9">
        <f>INDEX(products!$A$1:$G$49,MATCH(orders!$D763,products!$A$1:$A$49,0),MATCH(orders!K$1,products!$A$1:$G$1,0))</f>
        <v>1</v>
      </c>
      <c r="L763" s="10">
        <f>INDEX(products!$A$1:$G$49,MATCH(orders!$D763,products!$A$1:$A$49,0),MATCH(orders!L$1,products!$A$1:$G$1,0))</f>
        <v>14.85</v>
      </c>
      <c r="M763" s="10">
        <f t="shared" si="33"/>
        <v>89.1</v>
      </c>
      <c r="N763" t="str">
        <f t="shared" si="34"/>
        <v>Excelsa</v>
      </c>
      <c r="O763" t="str">
        <f t="shared" si="35"/>
        <v>Light</v>
      </c>
      <c r="P763" t="str">
        <f>_xlfn.XLOOKUP(Table1[[#This Row],[Customer ID]],customers!$A$1:$A$1001,customers!$I$1:$I$1001,,0)</f>
        <v>Yes</v>
      </c>
    </row>
    <row r="764" spans="1:16" x14ac:dyDescent="0.25">
      <c r="A764" s="2" t="s">
        <v>4797</v>
      </c>
      <c r="B764" s="8">
        <v>43563</v>
      </c>
      <c r="C764" s="2" t="s">
        <v>4798</v>
      </c>
      <c r="D764" t="s">
        <v>6160</v>
      </c>
      <c r="E764" s="2">
        <v>5</v>
      </c>
      <c r="F764" s="2" t="str">
        <f>_xlfn.XLOOKUP(orders!C764,customers!$A$1:$A$1001,customers!$B$1:$B$1001,,0)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9">
        <f>INDEX(products!$A$1:$G$49,MATCH(orders!$D764,products!$A$1:$A$49,0),MATCH(orders!K$1,products!$A$1:$G$1,0))</f>
        <v>0.5</v>
      </c>
      <c r="L764" s="10">
        <f>INDEX(products!$A$1:$G$49,MATCH(orders!$D764,products!$A$1:$A$49,0),MATCH(orders!L$1,products!$A$1:$G$1,0))</f>
        <v>8.73</v>
      </c>
      <c r="M764" s="10">
        <f t="shared" si="33"/>
        <v>43.650000000000006</v>
      </c>
      <c r="N764" t="str">
        <f t="shared" si="34"/>
        <v>Liberica</v>
      </c>
      <c r="O764" t="str">
        <f t="shared" si="35"/>
        <v>Medium</v>
      </c>
      <c r="P764" t="str">
        <f>_xlfn.XLOOKUP(Table1[[#This Row],[Customer ID]],customers!$A$1:$A$1001,customers!$I$1:$I$1001,,0)</f>
        <v>No</v>
      </c>
    </row>
    <row r="765" spans="1:16" x14ac:dyDescent="0.25">
      <c r="A765" s="2" t="s">
        <v>4803</v>
      </c>
      <c r="B765" s="8">
        <v>44587</v>
      </c>
      <c r="C765" s="2" t="s">
        <v>4804</v>
      </c>
      <c r="D765" t="s">
        <v>6180</v>
      </c>
      <c r="E765" s="2">
        <v>3</v>
      </c>
      <c r="F765" s="2" t="str">
        <f>_xlfn.XLOOKUP(orders!C765,customers!$A$1:$A$1001,customers!$B$1:$B$1001,,0)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9">
        <f>INDEX(products!$A$1:$G$49,MATCH(orders!$D765,products!$A$1:$A$49,0),MATCH(orders!K$1,products!$A$1:$G$1,0))</f>
        <v>0.5</v>
      </c>
      <c r="L765" s="10">
        <f>INDEX(products!$A$1:$G$49,MATCH(orders!$D765,products!$A$1:$A$49,0),MATCH(orders!L$1,products!$A$1:$G$1,0))</f>
        <v>7.77</v>
      </c>
      <c r="M765" s="10">
        <f t="shared" si="33"/>
        <v>23.31</v>
      </c>
      <c r="N765" t="str">
        <f t="shared" si="34"/>
        <v>Arabica</v>
      </c>
      <c r="O765" t="str">
        <f t="shared" si="35"/>
        <v>Light</v>
      </c>
      <c r="P765" t="str">
        <f>_xlfn.XLOOKUP(Table1[[#This Row],[Customer ID]],customers!$A$1:$A$1001,customers!$I$1:$I$1001,,0)</f>
        <v>No</v>
      </c>
    </row>
    <row r="766" spans="1:16" x14ac:dyDescent="0.25">
      <c r="A766" s="2" t="s">
        <v>4808</v>
      </c>
      <c r="B766" s="8">
        <v>43797</v>
      </c>
      <c r="C766" s="2" t="s">
        <v>4809</v>
      </c>
      <c r="D766" t="s">
        <v>6182</v>
      </c>
      <c r="E766" s="2">
        <v>6</v>
      </c>
      <c r="F766" s="2" t="str">
        <f>_xlfn.XLOOKUP(orders!C766,customers!$A$1:$A$1001,customers!$B$1:$B$1001,,0)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9">
        <f>INDEX(products!$A$1:$G$49,MATCH(orders!$D766,products!$A$1:$A$49,0),MATCH(orders!K$1,products!$A$1:$G$1,0))</f>
        <v>2.5</v>
      </c>
      <c r="L766" s="10">
        <f>INDEX(products!$A$1:$G$49,MATCH(orders!$D766,products!$A$1:$A$49,0),MATCH(orders!L$1,products!$A$1:$G$1,0))</f>
        <v>29.784999999999997</v>
      </c>
      <c r="M766" s="10">
        <f t="shared" si="33"/>
        <v>178.70999999999998</v>
      </c>
      <c r="N766" t="str">
        <f t="shared" si="34"/>
        <v>Arabica</v>
      </c>
      <c r="O766" t="str">
        <f t="shared" si="35"/>
        <v>Light</v>
      </c>
      <c r="P766" t="str">
        <f>_xlfn.XLOOKUP(Table1[[#This Row],[Customer ID]],customers!$A$1:$A$1001,customers!$I$1:$I$1001,,0)</f>
        <v>Yes</v>
      </c>
    </row>
    <row r="767" spans="1:16" x14ac:dyDescent="0.25">
      <c r="A767" s="2" t="s">
        <v>4814</v>
      </c>
      <c r="B767" s="8">
        <v>43667</v>
      </c>
      <c r="C767" s="2" t="s">
        <v>4815</v>
      </c>
      <c r="D767" t="s">
        <v>6138</v>
      </c>
      <c r="E767" s="2">
        <v>6</v>
      </c>
      <c r="F767" s="2" t="str">
        <f>_xlfn.XLOOKUP(orders!C767,customers!$A$1:$A$1001,customers!$B$1:$B$1001,,0)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9">
        <f>INDEX(products!$A$1:$G$49,MATCH(orders!$D767,products!$A$1:$A$49,0),MATCH(orders!K$1,products!$A$1:$G$1,0))</f>
        <v>1</v>
      </c>
      <c r="L767" s="10">
        <f>INDEX(products!$A$1:$G$49,MATCH(orders!$D767,products!$A$1:$A$49,0),MATCH(orders!L$1,products!$A$1:$G$1,0))</f>
        <v>9.9499999999999993</v>
      </c>
      <c r="M767" s="10">
        <f t="shared" si="33"/>
        <v>59.699999999999996</v>
      </c>
      <c r="N767" t="str">
        <f t="shared" si="34"/>
        <v>Robusta</v>
      </c>
      <c r="O767" t="str">
        <f t="shared" si="35"/>
        <v>Medium</v>
      </c>
      <c r="P767" t="str">
        <f>_xlfn.XLOOKUP(Table1[[#This Row],[Customer ID]],customers!$A$1:$A$1001,customers!$I$1:$I$1001,,0)</f>
        <v>Yes</v>
      </c>
    </row>
    <row r="768" spans="1:16" x14ac:dyDescent="0.25">
      <c r="A768" s="2" t="s">
        <v>4814</v>
      </c>
      <c r="B768" s="8">
        <v>43667</v>
      </c>
      <c r="C768" s="2" t="s">
        <v>4815</v>
      </c>
      <c r="D768" t="s">
        <v>6180</v>
      </c>
      <c r="E768" s="2">
        <v>2</v>
      </c>
      <c r="F768" s="2" t="str">
        <f>_xlfn.XLOOKUP(orders!C768,customers!$A$1:$A$1001,customers!$B$1:$B$1001,,0)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9">
        <f>INDEX(products!$A$1:$G$49,MATCH(orders!$D768,products!$A$1:$A$49,0),MATCH(orders!K$1,products!$A$1:$G$1,0))</f>
        <v>0.5</v>
      </c>
      <c r="L768" s="10">
        <f>INDEX(products!$A$1:$G$49,MATCH(orders!$D768,products!$A$1:$A$49,0),MATCH(orders!L$1,products!$A$1:$G$1,0))</f>
        <v>7.77</v>
      </c>
      <c r="M768" s="10">
        <f t="shared" si="33"/>
        <v>15.54</v>
      </c>
      <c r="N768" t="str">
        <f t="shared" si="34"/>
        <v>Arabica</v>
      </c>
      <c r="O768" t="str">
        <f t="shared" si="35"/>
        <v>Light</v>
      </c>
      <c r="P768" t="str">
        <f>_xlfn.XLOOKUP(Table1[[#This Row],[Customer ID]],customers!$A$1:$A$1001,customers!$I$1:$I$1001,,0)</f>
        <v>Yes</v>
      </c>
    </row>
    <row r="769" spans="1:16" x14ac:dyDescent="0.25">
      <c r="A769" s="2" t="s">
        <v>4825</v>
      </c>
      <c r="B769" s="8">
        <v>44267</v>
      </c>
      <c r="C769" s="2" t="s">
        <v>4759</v>
      </c>
      <c r="D769" t="s">
        <v>6182</v>
      </c>
      <c r="E769" s="2">
        <v>3</v>
      </c>
      <c r="F769" s="2" t="str">
        <f>_xlfn.XLOOKUP(orders!C769,customers!$A$1:$A$1001,customers!$B$1:$B$1001,,0)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9">
        <f>INDEX(products!$A$1:$G$49,MATCH(orders!$D769,products!$A$1:$A$49,0),MATCH(orders!K$1,products!$A$1:$G$1,0))</f>
        <v>2.5</v>
      </c>
      <c r="L769" s="10">
        <f>INDEX(products!$A$1:$G$49,MATCH(orders!$D769,products!$A$1:$A$49,0),MATCH(orders!L$1,products!$A$1:$G$1,0))</f>
        <v>29.784999999999997</v>
      </c>
      <c r="M769" s="10">
        <f t="shared" si="33"/>
        <v>89.35499999999999</v>
      </c>
      <c r="N769" t="str">
        <f t="shared" si="34"/>
        <v>Arabica</v>
      </c>
      <c r="O769" t="str">
        <f t="shared" si="35"/>
        <v>Light</v>
      </c>
      <c r="P769" t="str">
        <f>_xlfn.XLOOKUP(Table1[[#This Row],[Customer ID]],customers!$A$1:$A$1001,customers!$I$1:$I$1001,,0)</f>
        <v>No</v>
      </c>
    </row>
    <row r="770" spans="1:16" x14ac:dyDescent="0.25">
      <c r="A770" s="2" t="s">
        <v>4831</v>
      </c>
      <c r="B770" s="8">
        <v>44562</v>
      </c>
      <c r="C770" s="2" t="s">
        <v>4759</v>
      </c>
      <c r="D770" t="s">
        <v>6179</v>
      </c>
      <c r="E770" s="2">
        <v>2</v>
      </c>
      <c r="F770" s="2" t="str">
        <f>_xlfn.XLOOKUP(orders!C770,customers!$A$1:$A$1001,customers!$B$1:$B$1001,,0)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9">
        <f>INDEX(products!$A$1:$G$49,MATCH(orders!$D770,products!$A$1:$A$49,0),MATCH(orders!K$1,products!$A$1:$G$1,0))</f>
        <v>1</v>
      </c>
      <c r="L770" s="10">
        <f>INDEX(products!$A$1:$G$49,MATCH(orders!$D770,products!$A$1:$A$49,0),MATCH(orders!L$1,products!$A$1:$G$1,0))</f>
        <v>11.95</v>
      </c>
      <c r="M770" s="10">
        <f t="shared" si="33"/>
        <v>23.9</v>
      </c>
      <c r="N770" t="str">
        <f t="shared" si="34"/>
        <v>Robusta</v>
      </c>
      <c r="O770" t="str">
        <f t="shared" si="35"/>
        <v>Light</v>
      </c>
      <c r="P770" t="str">
        <f>_xlfn.XLOOKUP(Table1[[#This Row],[Customer ID]],customers!$A$1:$A$1001,customers!$I$1:$I$1001,,0)</f>
        <v>No</v>
      </c>
    </row>
    <row r="771" spans="1:16" x14ac:dyDescent="0.25">
      <c r="A771" s="2" t="s">
        <v>4836</v>
      </c>
      <c r="B771" s="8">
        <v>43912</v>
      </c>
      <c r="C771" s="2" t="s">
        <v>4837</v>
      </c>
      <c r="D771" t="s">
        <v>6151</v>
      </c>
      <c r="E771" s="2">
        <v>6</v>
      </c>
      <c r="F771" s="2" t="str">
        <f>_xlfn.XLOOKUP(orders!C771,customers!$A$1:$A$1001,customers!$B$1:$B$1001,,0)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9">
        <f>INDEX(products!$A$1:$G$49,MATCH(orders!$D771,products!$A$1:$A$49,0),MATCH(orders!K$1,products!$A$1:$G$1,0))</f>
        <v>2.5</v>
      </c>
      <c r="L771" s="10">
        <f>INDEX(products!$A$1:$G$49,MATCH(orders!$D771,products!$A$1:$A$49,0),MATCH(orders!L$1,products!$A$1:$G$1,0))</f>
        <v>22.884999999999998</v>
      </c>
      <c r="M771" s="10">
        <f t="shared" ref="M771:M834" si="36">L771*E771</f>
        <v>137.31</v>
      </c>
      <c r="N771" t="str">
        <f t="shared" ref="N771:N834" si="37">IF(I771="Rob", "Robusta", IF(I771="Exc","Excelsa", IF(I771="Ara","Arabica", IF(I771="Lib","Liberica",""))))</f>
        <v>Robusta</v>
      </c>
      <c r="O771" t="str">
        <f t="shared" ref="O771:O834" si="38">IF(J771="M", "Medium", IF(J771="L","Light",IF(J771="D","Dark","")))</f>
        <v>Medium</v>
      </c>
      <c r="P771" t="str">
        <f>_xlfn.XLOOKUP(Table1[[#This Row],[Customer ID]],customers!$A$1:$A$1001,customers!$I$1:$I$1001,,0)</f>
        <v>No</v>
      </c>
    </row>
    <row r="772" spans="1:16" x14ac:dyDescent="0.25">
      <c r="A772" s="2" t="s">
        <v>4842</v>
      </c>
      <c r="B772" s="8">
        <v>44092</v>
      </c>
      <c r="C772" s="2" t="s">
        <v>4843</v>
      </c>
      <c r="D772" t="s">
        <v>6147</v>
      </c>
      <c r="E772" s="2">
        <v>1</v>
      </c>
      <c r="F772" s="2" t="str">
        <f>_xlfn.XLOOKUP(orders!C772,customers!$A$1:$A$1001,customers!$B$1:$B$1001,,0)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9">
        <f>INDEX(products!$A$1:$G$49,MATCH(orders!$D772,products!$A$1:$A$49,0),MATCH(orders!K$1,products!$A$1:$G$1,0))</f>
        <v>1</v>
      </c>
      <c r="L772" s="10">
        <f>INDEX(products!$A$1:$G$49,MATCH(orders!$D772,products!$A$1:$A$49,0),MATCH(orders!L$1,products!$A$1:$G$1,0))</f>
        <v>9.9499999999999993</v>
      </c>
      <c r="M772" s="10">
        <f t="shared" si="36"/>
        <v>9.9499999999999993</v>
      </c>
      <c r="N772" t="str">
        <f t="shared" si="37"/>
        <v>Arabica</v>
      </c>
      <c r="O772" t="str">
        <f t="shared" si="38"/>
        <v>Dark</v>
      </c>
      <c r="P772" t="str">
        <f>_xlfn.XLOOKUP(Table1[[#This Row],[Customer ID]],customers!$A$1:$A$1001,customers!$I$1:$I$1001,,0)</f>
        <v>No</v>
      </c>
    </row>
    <row r="773" spans="1:16" x14ac:dyDescent="0.25">
      <c r="A773" s="2" t="s">
        <v>4847</v>
      </c>
      <c r="B773" s="8">
        <v>43468</v>
      </c>
      <c r="C773" s="2" t="s">
        <v>4848</v>
      </c>
      <c r="D773" t="s">
        <v>6173</v>
      </c>
      <c r="E773" s="2">
        <v>3</v>
      </c>
      <c r="F773" s="2" t="str">
        <f>_xlfn.XLOOKUP(orders!C773,customers!$A$1:$A$1001,customers!$B$1:$B$1001,,0)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9">
        <f>INDEX(products!$A$1:$G$49,MATCH(orders!$D773,products!$A$1:$A$49,0),MATCH(orders!K$1,products!$A$1:$G$1,0))</f>
        <v>0.5</v>
      </c>
      <c r="L773" s="10">
        <f>INDEX(products!$A$1:$G$49,MATCH(orders!$D773,products!$A$1:$A$49,0),MATCH(orders!L$1,products!$A$1:$G$1,0))</f>
        <v>7.169999999999999</v>
      </c>
      <c r="M773" s="10">
        <f t="shared" si="36"/>
        <v>21.509999999999998</v>
      </c>
      <c r="N773" t="str">
        <f t="shared" si="37"/>
        <v>Robusta</v>
      </c>
      <c r="O773" t="str">
        <f t="shared" si="38"/>
        <v>Light</v>
      </c>
      <c r="P773" t="str">
        <f>_xlfn.XLOOKUP(Table1[[#This Row],[Customer ID]],customers!$A$1:$A$1001,customers!$I$1:$I$1001,,0)</f>
        <v>No</v>
      </c>
    </row>
    <row r="774" spans="1:16" x14ac:dyDescent="0.25">
      <c r="A774" s="2" t="s">
        <v>4853</v>
      </c>
      <c r="B774" s="8">
        <v>44468</v>
      </c>
      <c r="C774" s="2" t="s">
        <v>4854</v>
      </c>
      <c r="D774" t="s">
        <v>6141</v>
      </c>
      <c r="E774" s="2">
        <v>6</v>
      </c>
      <c r="F774" s="2" t="str">
        <f>_xlfn.XLOOKUP(orders!C774,customers!$A$1:$A$1001,customers!$B$1:$B$1001,,0)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9">
        <f>INDEX(products!$A$1:$G$49,MATCH(orders!$D774,products!$A$1:$A$49,0),MATCH(orders!K$1,products!$A$1:$G$1,0))</f>
        <v>1</v>
      </c>
      <c r="L774" s="10">
        <f>INDEX(products!$A$1:$G$49,MATCH(orders!$D774,products!$A$1:$A$49,0),MATCH(orders!L$1,products!$A$1:$G$1,0))</f>
        <v>13.75</v>
      </c>
      <c r="M774" s="10">
        <f t="shared" si="36"/>
        <v>82.5</v>
      </c>
      <c r="N774" t="str">
        <f t="shared" si="37"/>
        <v>Excelsa</v>
      </c>
      <c r="O774" t="str">
        <f t="shared" si="38"/>
        <v>Medium</v>
      </c>
      <c r="P774" t="str">
        <f>_xlfn.XLOOKUP(Table1[[#This Row],[Customer ID]],customers!$A$1:$A$1001,customers!$I$1:$I$1001,,0)</f>
        <v>No</v>
      </c>
    </row>
    <row r="775" spans="1:16" x14ac:dyDescent="0.25">
      <c r="A775" s="2" t="s">
        <v>4858</v>
      </c>
      <c r="B775" s="8">
        <v>44488</v>
      </c>
      <c r="C775" s="2" t="s">
        <v>4859</v>
      </c>
      <c r="D775" t="s">
        <v>6159</v>
      </c>
      <c r="E775" s="2">
        <v>2</v>
      </c>
      <c r="F775" s="2" t="str">
        <f>_xlfn.XLOOKUP(orders!C775,customers!$A$1:$A$1001,customers!$B$1:$B$1001,,0)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9">
        <f>INDEX(products!$A$1:$G$49,MATCH(orders!$D775,products!$A$1:$A$49,0),MATCH(orders!K$1,products!$A$1:$G$1,0))</f>
        <v>0.2</v>
      </c>
      <c r="L775" s="10">
        <f>INDEX(products!$A$1:$G$49,MATCH(orders!$D775,products!$A$1:$A$49,0),MATCH(orders!L$1,products!$A$1:$G$1,0))</f>
        <v>4.3650000000000002</v>
      </c>
      <c r="M775" s="10">
        <f t="shared" si="36"/>
        <v>8.73</v>
      </c>
      <c r="N775" t="str">
        <f t="shared" si="37"/>
        <v>Liberica</v>
      </c>
      <c r="O775" t="str">
        <f t="shared" si="38"/>
        <v>Medium</v>
      </c>
      <c r="P775" t="str">
        <f>_xlfn.XLOOKUP(Table1[[#This Row],[Customer ID]],customers!$A$1:$A$1001,customers!$I$1:$I$1001,,0)</f>
        <v>No</v>
      </c>
    </row>
    <row r="776" spans="1:16" x14ac:dyDescent="0.25">
      <c r="A776" s="2" t="s">
        <v>4864</v>
      </c>
      <c r="B776" s="8">
        <v>44756</v>
      </c>
      <c r="C776" s="2" t="s">
        <v>4865</v>
      </c>
      <c r="D776" t="s">
        <v>6138</v>
      </c>
      <c r="E776" s="2">
        <v>2</v>
      </c>
      <c r="F776" s="2" t="str">
        <f>_xlfn.XLOOKUP(orders!C776,customers!$A$1:$A$1001,customers!$B$1:$B$1001,,0)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9">
        <f>INDEX(products!$A$1:$G$49,MATCH(orders!$D776,products!$A$1:$A$49,0),MATCH(orders!K$1,products!$A$1:$G$1,0))</f>
        <v>1</v>
      </c>
      <c r="L776" s="10">
        <f>INDEX(products!$A$1:$G$49,MATCH(orders!$D776,products!$A$1:$A$49,0),MATCH(orders!L$1,products!$A$1:$G$1,0))</f>
        <v>9.9499999999999993</v>
      </c>
      <c r="M776" s="10">
        <f t="shared" si="36"/>
        <v>19.899999999999999</v>
      </c>
      <c r="N776" t="str">
        <f t="shared" si="37"/>
        <v>Robusta</v>
      </c>
      <c r="O776" t="str">
        <f t="shared" si="38"/>
        <v>Medium</v>
      </c>
      <c r="P776" t="str">
        <f>_xlfn.XLOOKUP(Table1[[#This Row],[Customer ID]],customers!$A$1:$A$1001,customers!$I$1:$I$1001,,0)</f>
        <v>Yes</v>
      </c>
    </row>
    <row r="777" spans="1:16" x14ac:dyDescent="0.25">
      <c r="A777" s="2" t="s">
        <v>4869</v>
      </c>
      <c r="B777" s="8">
        <v>44396</v>
      </c>
      <c r="C777" s="2" t="s">
        <v>4870</v>
      </c>
      <c r="D777" t="s">
        <v>6176</v>
      </c>
      <c r="E777" s="2">
        <v>2</v>
      </c>
      <c r="F777" s="2" t="str">
        <f>_xlfn.XLOOKUP(orders!C777,customers!$A$1:$A$1001,customers!$B$1:$B$1001,,0)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9">
        <f>INDEX(products!$A$1:$G$49,MATCH(orders!$D777,products!$A$1:$A$49,0),MATCH(orders!K$1,products!$A$1:$G$1,0))</f>
        <v>0.5</v>
      </c>
      <c r="L777" s="10">
        <f>INDEX(products!$A$1:$G$49,MATCH(orders!$D777,products!$A$1:$A$49,0),MATCH(orders!L$1,products!$A$1:$G$1,0))</f>
        <v>8.91</v>
      </c>
      <c r="M777" s="10">
        <f t="shared" si="36"/>
        <v>17.82</v>
      </c>
      <c r="N777" t="str">
        <f t="shared" si="37"/>
        <v>Excelsa</v>
      </c>
      <c r="O777" t="str">
        <f t="shared" si="38"/>
        <v>Light</v>
      </c>
      <c r="P777" t="str">
        <f>_xlfn.XLOOKUP(Table1[[#This Row],[Customer ID]],customers!$A$1:$A$1001,customers!$I$1:$I$1001,,0)</f>
        <v>Yes</v>
      </c>
    </row>
    <row r="778" spans="1:16" x14ac:dyDescent="0.25">
      <c r="A778" s="2" t="s">
        <v>4875</v>
      </c>
      <c r="B778" s="8">
        <v>44540</v>
      </c>
      <c r="C778" s="2" t="s">
        <v>4876</v>
      </c>
      <c r="D778" t="s">
        <v>6157</v>
      </c>
      <c r="E778" s="2">
        <v>3</v>
      </c>
      <c r="F778" s="2" t="str">
        <f>_xlfn.XLOOKUP(orders!C778,customers!$A$1:$A$1001,customers!$B$1:$B$1001,,0)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9">
        <f>INDEX(products!$A$1:$G$49,MATCH(orders!$D778,products!$A$1:$A$49,0),MATCH(orders!K$1,products!$A$1:$G$1,0))</f>
        <v>0.5</v>
      </c>
      <c r="L778" s="10">
        <f>INDEX(products!$A$1:$G$49,MATCH(orders!$D778,products!$A$1:$A$49,0),MATCH(orders!L$1,products!$A$1:$G$1,0))</f>
        <v>6.75</v>
      </c>
      <c r="M778" s="10">
        <f t="shared" si="36"/>
        <v>20.25</v>
      </c>
      <c r="N778" t="str">
        <f t="shared" si="37"/>
        <v>Arabica</v>
      </c>
      <c r="O778" t="str">
        <f t="shared" si="38"/>
        <v>Medium</v>
      </c>
      <c r="P778" t="str">
        <f>_xlfn.XLOOKUP(Table1[[#This Row],[Customer ID]],customers!$A$1:$A$1001,customers!$I$1:$I$1001,,0)</f>
        <v>No</v>
      </c>
    </row>
    <row r="779" spans="1:16" x14ac:dyDescent="0.25">
      <c r="A779" s="2" t="s">
        <v>4881</v>
      </c>
      <c r="B779" s="8">
        <v>43541</v>
      </c>
      <c r="C779" s="2" t="s">
        <v>4882</v>
      </c>
      <c r="D779" t="s">
        <v>6182</v>
      </c>
      <c r="E779" s="2">
        <v>2</v>
      </c>
      <c r="F779" s="2" t="str">
        <f>_xlfn.XLOOKUP(orders!C779,customers!$A$1:$A$1001,customers!$B$1:$B$1001,,0)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9">
        <f>INDEX(products!$A$1:$G$49,MATCH(orders!$D779,products!$A$1:$A$49,0),MATCH(orders!K$1,products!$A$1:$G$1,0))</f>
        <v>2.5</v>
      </c>
      <c r="L779" s="10">
        <f>INDEX(products!$A$1:$G$49,MATCH(orders!$D779,products!$A$1:$A$49,0),MATCH(orders!L$1,products!$A$1:$G$1,0))</f>
        <v>29.784999999999997</v>
      </c>
      <c r="M779" s="10">
        <f t="shared" si="36"/>
        <v>59.569999999999993</v>
      </c>
      <c r="N779" t="str">
        <f t="shared" si="37"/>
        <v>Arabica</v>
      </c>
      <c r="O779" t="str">
        <f t="shared" si="38"/>
        <v>Light</v>
      </c>
      <c r="P779" t="str">
        <f>_xlfn.XLOOKUP(Table1[[#This Row],[Customer ID]],customers!$A$1:$A$1001,customers!$I$1:$I$1001,,0)</f>
        <v>No</v>
      </c>
    </row>
    <row r="780" spans="1:16" x14ac:dyDescent="0.25">
      <c r="A780" s="2" t="s">
        <v>4886</v>
      </c>
      <c r="B780" s="8">
        <v>43889</v>
      </c>
      <c r="C780" s="2" t="s">
        <v>4933</v>
      </c>
      <c r="D780" t="s">
        <v>6161</v>
      </c>
      <c r="E780" s="2">
        <v>2</v>
      </c>
      <c r="F780" s="2" t="str">
        <f>_xlfn.XLOOKUP(orders!C780,customers!$A$1:$A$1001,customers!$B$1:$B$1001,,0)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9">
        <f>INDEX(products!$A$1:$G$49,MATCH(orders!$D780,products!$A$1:$A$49,0),MATCH(orders!K$1,products!$A$1:$G$1,0))</f>
        <v>0.5</v>
      </c>
      <c r="L780" s="10">
        <f>INDEX(products!$A$1:$G$49,MATCH(orders!$D780,products!$A$1:$A$49,0),MATCH(orders!L$1,products!$A$1:$G$1,0))</f>
        <v>9.51</v>
      </c>
      <c r="M780" s="10">
        <f t="shared" si="36"/>
        <v>19.02</v>
      </c>
      <c r="N780" t="str">
        <f t="shared" si="37"/>
        <v>Liberica</v>
      </c>
      <c r="O780" t="str">
        <f t="shared" si="38"/>
        <v>Light</v>
      </c>
      <c r="P780" t="str">
        <f>_xlfn.XLOOKUP(Table1[[#This Row],[Customer ID]],customers!$A$1:$A$1001,customers!$I$1:$I$1001,,0)</f>
        <v>Yes</v>
      </c>
    </row>
    <row r="781" spans="1:16" x14ac:dyDescent="0.25">
      <c r="A781" s="2" t="s">
        <v>4892</v>
      </c>
      <c r="B781" s="8">
        <v>43985</v>
      </c>
      <c r="C781" s="2" t="s">
        <v>4893</v>
      </c>
      <c r="D781" t="s">
        <v>6143</v>
      </c>
      <c r="E781" s="2">
        <v>6</v>
      </c>
      <c r="F781" s="2" t="str">
        <f>_xlfn.XLOOKUP(orders!C781,customers!$A$1:$A$1001,customers!$B$1:$B$1001,,0)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9">
        <f>INDEX(products!$A$1:$G$49,MATCH(orders!$D781,products!$A$1:$A$49,0),MATCH(orders!K$1,products!$A$1:$G$1,0))</f>
        <v>1</v>
      </c>
      <c r="L781" s="10">
        <f>INDEX(products!$A$1:$G$49,MATCH(orders!$D781,products!$A$1:$A$49,0),MATCH(orders!L$1,products!$A$1:$G$1,0))</f>
        <v>12.95</v>
      </c>
      <c r="M781" s="10">
        <f t="shared" si="36"/>
        <v>77.699999999999989</v>
      </c>
      <c r="N781" t="str">
        <f t="shared" si="37"/>
        <v>Liberica</v>
      </c>
      <c r="O781" t="str">
        <f t="shared" si="38"/>
        <v>Dark</v>
      </c>
      <c r="P781" t="str">
        <f>_xlfn.XLOOKUP(Table1[[#This Row],[Customer ID]],customers!$A$1:$A$1001,customers!$I$1:$I$1001,,0)</f>
        <v>Yes</v>
      </c>
    </row>
    <row r="782" spans="1:16" x14ac:dyDescent="0.25">
      <c r="A782" s="2" t="s">
        <v>4898</v>
      </c>
      <c r="B782" s="8">
        <v>43883</v>
      </c>
      <c r="C782" s="2" t="s">
        <v>4899</v>
      </c>
      <c r="D782" t="s">
        <v>6141</v>
      </c>
      <c r="E782" s="2">
        <v>3</v>
      </c>
      <c r="F782" s="2" t="str">
        <f>_xlfn.XLOOKUP(orders!C782,customers!$A$1:$A$1001,customers!$B$1:$B$1001,,0)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9">
        <f>INDEX(products!$A$1:$G$49,MATCH(orders!$D782,products!$A$1:$A$49,0),MATCH(orders!K$1,products!$A$1:$G$1,0))</f>
        <v>1</v>
      </c>
      <c r="L782" s="10">
        <f>INDEX(products!$A$1:$G$49,MATCH(orders!$D782,products!$A$1:$A$49,0),MATCH(orders!L$1,products!$A$1:$G$1,0))</f>
        <v>13.75</v>
      </c>
      <c r="M782" s="10">
        <f t="shared" si="36"/>
        <v>41.25</v>
      </c>
      <c r="N782" t="str">
        <f t="shared" si="37"/>
        <v>Excelsa</v>
      </c>
      <c r="O782" t="str">
        <f t="shared" si="38"/>
        <v>Medium</v>
      </c>
      <c r="P782" t="str">
        <f>_xlfn.XLOOKUP(Table1[[#This Row],[Customer ID]],customers!$A$1:$A$1001,customers!$I$1:$I$1001,,0)</f>
        <v>No</v>
      </c>
    </row>
    <row r="783" spans="1:16" x14ac:dyDescent="0.25">
      <c r="A783" s="2" t="s">
        <v>4903</v>
      </c>
      <c r="B783" s="8">
        <v>43778</v>
      </c>
      <c r="C783" s="2" t="s">
        <v>4904</v>
      </c>
      <c r="D783" t="s">
        <v>6164</v>
      </c>
      <c r="E783" s="2">
        <v>4</v>
      </c>
      <c r="F783" s="2" t="str">
        <f>_xlfn.XLOOKUP(orders!C783,customers!$A$1:$A$1001,customers!$B$1:$B$1001,,0)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9">
        <f>INDEX(products!$A$1:$G$49,MATCH(orders!$D783,products!$A$1:$A$49,0),MATCH(orders!K$1,products!$A$1:$G$1,0))</f>
        <v>2.5</v>
      </c>
      <c r="L783" s="10">
        <f>INDEX(products!$A$1:$G$49,MATCH(orders!$D783,products!$A$1:$A$49,0),MATCH(orders!L$1,products!$A$1:$G$1,0))</f>
        <v>36.454999999999998</v>
      </c>
      <c r="M783" s="10">
        <f t="shared" si="36"/>
        <v>145.82</v>
      </c>
      <c r="N783" t="str">
        <f t="shared" si="37"/>
        <v>Liberica</v>
      </c>
      <c r="O783" t="str">
        <f t="shared" si="38"/>
        <v>Light</v>
      </c>
      <c r="P783" t="str">
        <f>_xlfn.XLOOKUP(Table1[[#This Row],[Customer ID]],customers!$A$1:$A$1001,customers!$I$1:$I$1001,,0)</f>
        <v>No</v>
      </c>
    </row>
    <row r="784" spans="1:16" x14ac:dyDescent="0.25">
      <c r="A784" s="2" t="s">
        <v>4909</v>
      </c>
      <c r="B784" s="8">
        <v>43897</v>
      </c>
      <c r="C784" s="2" t="s">
        <v>4910</v>
      </c>
      <c r="D784" t="s">
        <v>6184</v>
      </c>
      <c r="E784" s="2">
        <v>6</v>
      </c>
      <c r="F784" s="2" t="str">
        <f>_xlfn.XLOOKUP(orders!C784,customers!$A$1:$A$1001,customers!$B$1:$B$1001,,0)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9">
        <f>INDEX(products!$A$1:$G$49,MATCH(orders!$D784,products!$A$1:$A$49,0),MATCH(orders!K$1,products!$A$1:$G$1,0))</f>
        <v>0.2</v>
      </c>
      <c r="L784" s="10">
        <f>INDEX(products!$A$1:$G$49,MATCH(orders!$D784,products!$A$1:$A$49,0),MATCH(orders!L$1,products!$A$1:$G$1,0))</f>
        <v>4.4550000000000001</v>
      </c>
      <c r="M784" s="10">
        <f t="shared" si="36"/>
        <v>26.73</v>
      </c>
      <c r="N784" t="str">
        <f t="shared" si="37"/>
        <v>Excelsa</v>
      </c>
      <c r="O784" t="str">
        <f t="shared" si="38"/>
        <v>Light</v>
      </c>
      <c r="P784" t="str">
        <f>_xlfn.XLOOKUP(Table1[[#This Row],[Customer ID]],customers!$A$1:$A$1001,customers!$I$1:$I$1001,,0)</f>
        <v>No</v>
      </c>
    </row>
    <row r="785" spans="1:16" x14ac:dyDescent="0.25">
      <c r="A785" s="2" t="s">
        <v>4915</v>
      </c>
      <c r="B785" s="8">
        <v>44312</v>
      </c>
      <c r="C785" s="2" t="s">
        <v>4916</v>
      </c>
      <c r="D785" t="s">
        <v>6160</v>
      </c>
      <c r="E785" s="2">
        <v>5</v>
      </c>
      <c r="F785" s="2" t="str">
        <f>_xlfn.XLOOKUP(orders!C785,customers!$A$1:$A$1001,customers!$B$1:$B$1001,,0)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9">
        <f>INDEX(products!$A$1:$G$49,MATCH(orders!$D785,products!$A$1:$A$49,0),MATCH(orders!K$1,products!$A$1:$G$1,0))</f>
        <v>0.5</v>
      </c>
      <c r="L785" s="10">
        <f>INDEX(products!$A$1:$G$49,MATCH(orders!$D785,products!$A$1:$A$49,0),MATCH(orders!L$1,products!$A$1:$G$1,0))</f>
        <v>8.73</v>
      </c>
      <c r="M785" s="10">
        <f t="shared" si="36"/>
        <v>43.650000000000006</v>
      </c>
      <c r="N785" t="str">
        <f t="shared" si="37"/>
        <v>Liberica</v>
      </c>
      <c r="O785" t="str">
        <f t="shared" si="38"/>
        <v>Medium</v>
      </c>
      <c r="P785" t="str">
        <f>_xlfn.XLOOKUP(Table1[[#This Row],[Customer ID]],customers!$A$1:$A$1001,customers!$I$1:$I$1001,,0)</f>
        <v>Yes</v>
      </c>
    </row>
    <row r="786" spans="1:16" x14ac:dyDescent="0.25">
      <c r="A786" s="2" t="s">
        <v>4921</v>
      </c>
      <c r="B786" s="8">
        <v>44511</v>
      </c>
      <c r="C786" s="2" t="s">
        <v>4922</v>
      </c>
      <c r="D786" t="s">
        <v>6170</v>
      </c>
      <c r="E786" s="2">
        <v>2</v>
      </c>
      <c r="F786" s="2" t="str">
        <f>_xlfn.XLOOKUP(orders!C786,customers!$A$1:$A$1001,customers!$B$1:$B$1001,,0)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9">
        <f>INDEX(products!$A$1:$G$49,MATCH(orders!$D786,products!$A$1:$A$49,0),MATCH(orders!K$1,products!$A$1:$G$1,0))</f>
        <v>1</v>
      </c>
      <c r="L786" s="10">
        <f>INDEX(products!$A$1:$G$49,MATCH(orders!$D786,products!$A$1:$A$49,0),MATCH(orders!L$1,products!$A$1:$G$1,0))</f>
        <v>15.85</v>
      </c>
      <c r="M786" s="10">
        <f t="shared" si="36"/>
        <v>31.7</v>
      </c>
      <c r="N786" t="str">
        <f t="shared" si="37"/>
        <v>Liberica</v>
      </c>
      <c r="O786" t="str">
        <f t="shared" si="38"/>
        <v>Light</v>
      </c>
      <c r="P786" t="str">
        <f>_xlfn.XLOOKUP(Table1[[#This Row],[Customer ID]],customers!$A$1:$A$1001,customers!$I$1:$I$1001,,0)</f>
        <v>No</v>
      </c>
    </row>
    <row r="787" spans="1:16" x14ac:dyDescent="0.25">
      <c r="A787" s="2" t="s">
        <v>4926</v>
      </c>
      <c r="B787" s="8">
        <v>44362</v>
      </c>
      <c r="C787" s="2" t="s">
        <v>4927</v>
      </c>
      <c r="D787" t="s">
        <v>6168</v>
      </c>
      <c r="E787" s="2">
        <v>1</v>
      </c>
      <c r="F787" s="2" t="str">
        <f>_xlfn.XLOOKUP(orders!C787,customers!$A$1:$A$1001,customers!$B$1:$B$1001,,0)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9">
        <f>INDEX(products!$A$1:$G$49,MATCH(orders!$D787,products!$A$1:$A$49,0),MATCH(orders!K$1,products!$A$1:$G$1,0))</f>
        <v>2.5</v>
      </c>
      <c r="L787" s="10">
        <f>INDEX(products!$A$1:$G$49,MATCH(orders!$D787,products!$A$1:$A$49,0),MATCH(orders!L$1,products!$A$1:$G$1,0))</f>
        <v>22.884999999999998</v>
      </c>
      <c r="M787" s="10">
        <f t="shared" si="36"/>
        <v>22.884999999999998</v>
      </c>
      <c r="N787" t="str">
        <f t="shared" si="37"/>
        <v>Arabica</v>
      </c>
      <c r="O787" t="str">
        <f t="shared" si="38"/>
        <v>Dark</v>
      </c>
      <c r="P787" t="str">
        <f>_xlfn.XLOOKUP(Table1[[#This Row],[Customer ID]],customers!$A$1:$A$1001,customers!$I$1:$I$1001,,0)</f>
        <v>No</v>
      </c>
    </row>
    <row r="788" spans="1:16" x14ac:dyDescent="0.25">
      <c r="A788" s="2" t="s">
        <v>4932</v>
      </c>
      <c r="B788" s="8">
        <v>43888</v>
      </c>
      <c r="C788" s="2" t="s">
        <v>4933</v>
      </c>
      <c r="D788" t="s">
        <v>6185</v>
      </c>
      <c r="E788" s="2">
        <v>1</v>
      </c>
      <c r="F788" s="2" t="str">
        <f>_xlfn.XLOOKUP(orders!C788,customers!$A$1:$A$1001,customers!$B$1:$B$1001,,0)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9">
        <f>INDEX(products!$A$1:$G$49,MATCH(orders!$D788,products!$A$1:$A$49,0),MATCH(orders!K$1,products!$A$1:$G$1,0))</f>
        <v>2.5</v>
      </c>
      <c r="L788" s="10">
        <f>INDEX(products!$A$1:$G$49,MATCH(orders!$D788,products!$A$1:$A$49,0),MATCH(orders!L$1,products!$A$1:$G$1,0))</f>
        <v>27.945</v>
      </c>
      <c r="M788" s="10">
        <f t="shared" si="36"/>
        <v>27.945</v>
      </c>
      <c r="N788" t="str">
        <f t="shared" si="37"/>
        <v>Excelsa</v>
      </c>
      <c r="O788" t="str">
        <f t="shared" si="38"/>
        <v>Dark</v>
      </c>
      <c r="P788" t="str">
        <f>_xlfn.XLOOKUP(Table1[[#This Row],[Customer ID]],customers!$A$1:$A$1001,customers!$I$1:$I$1001,,0)</f>
        <v>Yes</v>
      </c>
    </row>
    <row r="789" spans="1:16" x14ac:dyDescent="0.25">
      <c r="A789" s="2" t="s">
        <v>4938</v>
      </c>
      <c r="B789" s="8">
        <v>44305</v>
      </c>
      <c r="C789" s="2" t="s">
        <v>4939</v>
      </c>
      <c r="D789" t="s">
        <v>6141</v>
      </c>
      <c r="E789" s="2">
        <v>6</v>
      </c>
      <c r="F789" s="2" t="str">
        <f>_xlfn.XLOOKUP(orders!C789,customers!$A$1:$A$1001,customers!$B$1:$B$1001,,0)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9">
        <f>INDEX(products!$A$1:$G$49,MATCH(orders!$D789,products!$A$1:$A$49,0),MATCH(orders!K$1,products!$A$1:$G$1,0))</f>
        <v>1</v>
      </c>
      <c r="L789" s="10">
        <f>INDEX(products!$A$1:$G$49,MATCH(orders!$D789,products!$A$1:$A$49,0),MATCH(orders!L$1,products!$A$1:$G$1,0))</f>
        <v>13.75</v>
      </c>
      <c r="M789" s="10">
        <f t="shared" si="36"/>
        <v>82.5</v>
      </c>
      <c r="N789" t="str">
        <f t="shared" si="37"/>
        <v>Excelsa</v>
      </c>
      <c r="O789" t="str">
        <f t="shared" si="38"/>
        <v>Medium</v>
      </c>
      <c r="P789" t="str">
        <f>_xlfn.XLOOKUP(Table1[[#This Row],[Customer ID]],customers!$A$1:$A$1001,customers!$I$1:$I$1001,,0)</f>
        <v>Yes</v>
      </c>
    </row>
    <row r="790" spans="1:16" x14ac:dyDescent="0.25">
      <c r="A790" s="2" t="s">
        <v>4943</v>
      </c>
      <c r="B790" s="8">
        <v>44771</v>
      </c>
      <c r="C790" s="2" t="s">
        <v>4944</v>
      </c>
      <c r="D790" t="s">
        <v>6151</v>
      </c>
      <c r="E790" s="2">
        <v>2</v>
      </c>
      <c r="F790" s="2" t="str">
        <f>_xlfn.XLOOKUP(orders!C790,customers!$A$1:$A$1001,customers!$B$1:$B$1001,,0)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9">
        <f>INDEX(products!$A$1:$G$49,MATCH(orders!$D790,products!$A$1:$A$49,0),MATCH(orders!K$1,products!$A$1:$G$1,0))</f>
        <v>2.5</v>
      </c>
      <c r="L790" s="10">
        <f>INDEX(products!$A$1:$G$49,MATCH(orders!$D790,products!$A$1:$A$49,0),MATCH(orders!L$1,products!$A$1:$G$1,0))</f>
        <v>22.884999999999998</v>
      </c>
      <c r="M790" s="10">
        <f t="shared" si="36"/>
        <v>45.769999999999996</v>
      </c>
      <c r="N790" t="str">
        <f t="shared" si="37"/>
        <v>Robusta</v>
      </c>
      <c r="O790" t="str">
        <f t="shared" si="38"/>
        <v>Medium</v>
      </c>
      <c r="P790" t="str">
        <f>_xlfn.XLOOKUP(Table1[[#This Row],[Customer ID]],customers!$A$1:$A$1001,customers!$I$1:$I$1001,,0)</f>
        <v>Yes</v>
      </c>
    </row>
    <row r="791" spans="1:16" x14ac:dyDescent="0.25">
      <c r="A791" s="2" t="s">
        <v>4949</v>
      </c>
      <c r="B791" s="8">
        <v>43485</v>
      </c>
      <c r="C791" s="2" t="s">
        <v>4950</v>
      </c>
      <c r="D791" t="s">
        <v>6140</v>
      </c>
      <c r="E791" s="2">
        <v>6</v>
      </c>
      <c r="F791" s="2" t="str">
        <f>_xlfn.XLOOKUP(orders!C791,customers!$A$1:$A$1001,customers!$B$1:$B$1001,,0)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9">
        <f>INDEX(products!$A$1:$G$49,MATCH(orders!$D791,products!$A$1:$A$49,0),MATCH(orders!K$1,products!$A$1:$G$1,0))</f>
        <v>1</v>
      </c>
      <c r="L791" s="10">
        <f>INDEX(products!$A$1:$G$49,MATCH(orders!$D791,products!$A$1:$A$49,0),MATCH(orders!L$1,products!$A$1:$G$1,0))</f>
        <v>12.95</v>
      </c>
      <c r="M791" s="10">
        <f t="shared" si="36"/>
        <v>77.699999999999989</v>
      </c>
      <c r="N791" t="str">
        <f t="shared" si="37"/>
        <v>Arabica</v>
      </c>
      <c r="O791" t="str">
        <f t="shared" si="38"/>
        <v>Light</v>
      </c>
      <c r="P791" t="str">
        <f>_xlfn.XLOOKUP(Table1[[#This Row],[Customer ID]],customers!$A$1:$A$1001,customers!$I$1:$I$1001,,0)</f>
        <v>No</v>
      </c>
    </row>
    <row r="792" spans="1:16" x14ac:dyDescent="0.25">
      <c r="A792" s="2" t="s">
        <v>4955</v>
      </c>
      <c r="B792" s="8">
        <v>44613</v>
      </c>
      <c r="C792" s="2" t="s">
        <v>4956</v>
      </c>
      <c r="D792" t="s">
        <v>6180</v>
      </c>
      <c r="E792" s="2">
        <v>3</v>
      </c>
      <c r="F792" s="2" t="str">
        <f>_xlfn.XLOOKUP(orders!C792,customers!$A$1:$A$1001,customers!$B$1:$B$1001,,0)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9">
        <f>INDEX(products!$A$1:$G$49,MATCH(orders!$D792,products!$A$1:$A$49,0),MATCH(orders!K$1,products!$A$1:$G$1,0))</f>
        <v>0.5</v>
      </c>
      <c r="L792" s="10">
        <f>INDEX(products!$A$1:$G$49,MATCH(orders!$D792,products!$A$1:$A$49,0),MATCH(orders!L$1,products!$A$1:$G$1,0))</f>
        <v>7.77</v>
      </c>
      <c r="M792" s="10">
        <f t="shared" si="36"/>
        <v>23.31</v>
      </c>
      <c r="N792" t="str">
        <f t="shared" si="37"/>
        <v>Arabica</v>
      </c>
      <c r="O792" t="str">
        <f t="shared" si="38"/>
        <v>Light</v>
      </c>
      <c r="P792" t="str">
        <f>_xlfn.XLOOKUP(Table1[[#This Row],[Customer ID]],customers!$A$1:$A$1001,customers!$I$1:$I$1001,,0)</f>
        <v>No</v>
      </c>
    </row>
    <row r="793" spans="1:16" x14ac:dyDescent="0.25">
      <c r="A793" s="2" t="s">
        <v>4961</v>
      </c>
      <c r="B793" s="8">
        <v>43954</v>
      </c>
      <c r="C793" s="2" t="s">
        <v>4962</v>
      </c>
      <c r="D793" t="s">
        <v>6145</v>
      </c>
      <c r="E793" s="2">
        <v>5</v>
      </c>
      <c r="F793" s="2" t="str">
        <f>_xlfn.XLOOKUP(orders!C793,customers!$A$1:$A$1001,customers!$B$1:$B$1001,,0)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9">
        <f>INDEX(products!$A$1:$G$49,MATCH(orders!$D793,products!$A$1:$A$49,0),MATCH(orders!K$1,products!$A$1:$G$1,0))</f>
        <v>0.2</v>
      </c>
      <c r="L793" s="10">
        <f>INDEX(products!$A$1:$G$49,MATCH(orders!$D793,products!$A$1:$A$49,0),MATCH(orders!L$1,products!$A$1:$G$1,0))</f>
        <v>4.7549999999999999</v>
      </c>
      <c r="M793" s="10">
        <f t="shared" si="36"/>
        <v>23.774999999999999</v>
      </c>
      <c r="N793" t="str">
        <f t="shared" si="37"/>
        <v>Liberica</v>
      </c>
      <c r="O793" t="str">
        <f t="shared" si="38"/>
        <v>Light</v>
      </c>
      <c r="P793" t="str">
        <f>_xlfn.XLOOKUP(Table1[[#This Row],[Customer ID]],customers!$A$1:$A$1001,customers!$I$1:$I$1001,,0)</f>
        <v>Yes</v>
      </c>
    </row>
    <row r="794" spans="1:16" x14ac:dyDescent="0.25">
      <c r="A794" s="2" t="s">
        <v>4967</v>
      </c>
      <c r="B794" s="8">
        <v>43545</v>
      </c>
      <c r="C794" s="2" t="s">
        <v>4968</v>
      </c>
      <c r="D794" t="s">
        <v>6160</v>
      </c>
      <c r="E794" s="2">
        <v>6</v>
      </c>
      <c r="F794" s="2" t="str">
        <f>_xlfn.XLOOKUP(orders!C794,customers!$A$1:$A$1001,customers!$B$1:$B$1001,,0)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9">
        <f>INDEX(products!$A$1:$G$49,MATCH(orders!$D794,products!$A$1:$A$49,0),MATCH(orders!K$1,products!$A$1:$G$1,0))</f>
        <v>0.5</v>
      </c>
      <c r="L794" s="10">
        <f>INDEX(products!$A$1:$G$49,MATCH(orders!$D794,products!$A$1:$A$49,0),MATCH(orders!L$1,products!$A$1:$G$1,0))</f>
        <v>8.73</v>
      </c>
      <c r="M794" s="10">
        <f t="shared" si="36"/>
        <v>52.38</v>
      </c>
      <c r="N794" t="str">
        <f t="shared" si="37"/>
        <v>Liberica</v>
      </c>
      <c r="O794" t="str">
        <f t="shared" si="38"/>
        <v>Medium</v>
      </c>
      <c r="P794" t="str">
        <f>_xlfn.XLOOKUP(Table1[[#This Row],[Customer ID]],customers!$A$1:$A$1001,customers!$I$1:$I$1001,,0)</f>
        <v>Yes</v>
      </c>
    </row>
    <row r="795" spans="1:16" x14ac:dyDescent="0.25">
      <c r="A795" s="2" t="s">
        <v>4973</v>
      </c>
      <c r="B795" s="8">
        <v>43629</v>
      </c>
      <c r="C795" s="2" t="s">
        <v>4974</v>
      </c>
      <c r="D795" t="s">
        <v>6178</v>
      </c>
      <c r="E795" s="2">
        <v>5</v>
      </c>
      <c r="F795" s="2" t="str">
        <f>_xlfn.XLOOKUP(orders!C795,customers!$A$1:$A$1001,customers!$B$1:$B$1001,,0)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9">
        <f>INDEX(products!$A$1:$G$49,MATCH(orders!$D795,products!$A$1:$A$49,0),MATCH(orders!K$1,products!$A$1:$G$1,0))</f>
        <v>0.2</v>
      </c>
      <c r="L795" s="10">
        <f>INDEX(products!$A$1:$G$49,MATCH(orders!$D795,products!$A$1:$A$49,0),MATCH(orders!L$1,products!$A$1:$G$1,0))</f>
        <v>3.5849999999999995</v>
      </c>
      <c r="M795" s="10">
        <f t="shared" si="36"/>
        <v>17.924999999999997</v>
      </c>
      <c r="N795" t="str">
        <f t="shared" si="37"/>
        <v>Robusta</v>
      </c>
      <c r="O795" t="str">
        <f t="shared" si="38"/>
        <v>Light</v>
      </c>
      <c r="P795" t="str">
        <f>_xlfn.XLOOKUP(Table1[[#This Row],[Customer ID]],customers!$A$1:$A$1001,customers!$I$1:$I$1001,,0)</f>
        <v>No</v>
      </c>
    </row>
    <row r="796" spans="1:16" x14ac:dyDescent="0.25">
      <c r="A796" s="2" t="s">
        <v>4979</v>
      </c>
      <c r="B796" s="8">
        <v>43987</v>
      </c>
      <c r="C796" s="2" t="s">
        <v>4980</v>
      </c>
      <c r="D796" t="s">
        <v>6182</v>
      </c>
      <c r="E796" s="2">
        <v>5</v>
      </c>
      <c r="F796" s="2" t="str">
        <f>_xlfn.XLOOKUP(orders!C796,customers!$A$1:$A$1001,customers!$B$1:$B$1001,,0)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9">
        <f>INDEX(products!$A$1:$G$49,MATCH(orders!$D796,products!$A$1:$A$49,0),MATCH(orders!K$1,products!$A$1:$G$1,0))</f>
        <v>2.5</v>
      </c>
      <c r="L796" s="10">
        <f>INDEX(products!$A$1:$G$49,MATCH(orders!$D796,products!$A$1:$A$49,0),MATCH(orders!L$1,products!$A$1:$G$1,0))</f>
        <v>29.784999999999997</v>
      </c>
      <c r="M796" s="10">
        <f t="shared" si="36"/>
        <v>148.92499999999998</v>
      </c>
      <c r="N796" t="str">
        <f t="shared" si="37"/>
        <v>Arabica</v>
      </c>
      <c r="O796" t="str">
        <f t="shared" si="38"/>
        <v>Light</v>
      </c>
      <c r="P796" t="str">
        <f>_xlfn.XLOOKUP(Table1[[#This Row],[Customer ID]],customers!$A$1:$A$1001,customers!$I$1:$I$1001,,0)</f>
        <v>No</v>
      </c>
    </row>
    <row r="797" spans="1:16" x14ac:dyDescent="0.25">
      <c r="A797" s="2" t="s">
        <v>4985</v>
      </c>
      <c r="B797" s="8">
        <v>43540</v>
      </c>
      <c r="C797" s="2" t="s">
        <v>4986</v>
      </c>
      <c r="D797" t="s">
        <v>6173</v>
      </c>
      <c r="E797" s="2">
        <v>4</v>
      </c>
      <c r="F797" s="2" t="str">
        <f>_xlfn.XLOOKUP(orders!C797,customers!$A$1:$A$1001,customers!$B$1:$B$1001,,0)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9">
        <f>INDEX(products!$A$1:$G$49,MATCH(orders!$D797,products!$A$1:$A$49,0),MATCH(orders!K$1,products!$A$1:$G$1,0))</f>
        <v>0.5</v>
      </c>
      <c r="L797" s="10">
        <f>INDEX(products!$A$1:$G$49,MATCH(orders!$D797,products!$A$1:$A$49,0),MATCH(orders!L$1,products!$A$1:$G$1,0))</f>
        <v>7.169999999999999</v>
      </c>
      <c r="M797" s="10">
        <f t="shared" si="36"/>
        <v>28.679999999999996</v>
      </c>
      <c r="N797" t="str">
        <f t="shared" si="37"/>
        <v>Robusta</v>
      </c>
      <c r="O797" t="str">
        <f t="shared" si="38"/>
        <v>Light</v>
      </c>
      <c r="P797" t="str">
        <f>_xlfn.XLOOKUP(Table1[[#This Row],[Customer ID]],customers!$A$1:$A$1001,customers!$I$1:$I$1001,,0)</f>
        <v>No</v>
      </c>
    </row>
    <row r="798" spans="1:16" x14ac:dyDescent="0.25">
      <c r="A798" s="2" t="s">
        <v>4991</v>
      </c>
      <c r="B798" s="8">
        <v>44533</v>
      </c>
      <c r="C798" s="2" t="s">
        <v>4992</v>
      </c>
      <c r="D798" t="s">
        <v>6161</v>
      </c>
      <c r="E798" s="2">
        <v>1</v>
      </c>
      <c r="F798" s="2" t="str">
        <f>_xlfn.XLOOKUP(orders!C798,customers!$A$1:$A$1001,customers!$B$1:$B$1001,,0)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9">
        <f>INDEX(products!$A$1:$G$49,MATCH(orders!$D798,products!$A$1:$A$49,0),MATCH(orders!K$1,products!$A$1:$G$1,0))</f>
        <v>0.5</v>
      </c>
      <c r="L798" s="10">
        <f>INDEX(products!$A$1:$G$49,MATCH(orders!$D798,products!$A$1:$A$49,0),MATCH(orders!L$1,products!$A$1:$G$1,0))</f>
        <v>9.51</v>
      </c>
      <c r="M798" s="10">
        <f t="shared" si="36"/>
        <v>9.51</v>
      </c>
      <c r="N798" t="str">
        <f t="shared" si="37"/>
        <v>Liberica</v>
      </c>
      <c r="O798" t="str">
        <f t="shared" si="38"/>
        <v>Light</v>
      </c>
      <c r="P798" t="str">
        <f>_xlfn.XLOOKUP(Table1[[#This Row],[Customer ID]],customers!$A$1:$A$1001,customers!$I$1:$I$1001,,0)</f>
        <v>No</v>
      </c>
    </row>
    <row r="799" spans="1:16" x14ac:dyDescent="0.25">
      <c r="A799" s="2" t="s">
        <v>4996</v>
      </c>
      <c r="B799" s="8">
        <v>44751</v>
      </c>
      <c r="C799" s="2" t="s">
        <v>4997</v>
      </c>
      <c r="D799" t="s">
        <v>6180</v>
      </c>
      <c r="E799" s="2">
        <v>4</v>
      </c>
      <c r="F799" s="2" t="str">
        <f>_xlfn.XLOOKUP(orders!C799,customers!$A$1:$A$1001,customers!$B$1:$B$1001,,0)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9">
        <f>INDEX(products!$A$1:$G$49,MATCH(orders!$D799,products!$A$1:$A$49,0),MATCH(orders!K$1,products!$A$1:$G$1,0))</f>
        <v>0.5</v>
      </c>
      <c r="L799" s="10">
        <f>INDEX(products!$A$1:$G$49,MATCH(orders!$D799,products!$A$1:$A$49,0),MATCH(orders!L$1,products!$A$1:$G$1,0))</f>
        <v>7.77</v>
      </c>
      <c r="M799" s="10">
        <f t="shared" si="36"/>
        <v>31.08</v>
      </c>
      <c r="N799" t="str">
        <f t="shared" si="37"/>
        <v>Arabica</v>
      </c>
      <c r="O799" t="str">
        <f t="shared" si="38"/>
        <v>Light</v>
      </c>
      <c r="P799" t="str">
        <f>_xlfn.XLOOKUP(Table1[[#This Row],[Customer ID]],customers!$A$1:$A$1001,customers!$I$1:$I$1001,,0)</f>
        <v>No</v>
      </c>
    </row>
    <row r="800" spans="1:16" x14ac:dyDescent="0.25">
      <c r="A800" s="2" t="s">
        <v>5002</v>
      </c>
      <c r="B800" s="8">
        <v>43950</v>
      </c>
      <c r="C800" s="2" t="s">
        <v>5003</v>
      </c>
      <c r="D800" t="s">
        <v>6163</v>
      </c>
      <c r="E800" s="2">
        <v>3</v>
      </c>
      <c r="F800" s="2" t="str">
        <f>_xlfn.XLOOKUP(orders!C800,customers!$A$1:$A$1001,customers!$B$1:$B$1001,,0)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9">
        <f>INDEX(products!$A$1:$G$49,MATCH(orders!$D800,products!$A$1:$A$49,0),MATCH(orders!K$1,products!$A$1:$G$1,0))</f>
        <v>0.2</v>
      </c>
      <c r="L800" s="10">
        <f>INDEX(products!$A$1:$G$49,MATCH(orders!$D800,products!$A$1:$A$49,0),MATCH(orders!L$1,products!$A$1:$G$1,0))</f>
        <v>2.6849999999999996</v>
      </c>
      <c r="M800" s="10">
        <f t="shared" si="36"/>
        <v>8.0549999999999997</v>
      </c>
      <c r="N800" t="str">
        <f t="shared" si="37"/>
        <v>Robusta</v>
      </c>
      <c r="O800" t="str">
        <f t="shared" si="38"/>
        <v>Dark</v>
      </c>
      <c r="P800" t="str">
        <f>_xlfn.XLOOKUP(Table1[[#This Row],[Customer ID]],customers!$A$1:$A$1001,customers!$I$1:$I$1001,,0)</f>
        <v>Yes</v>
      </c>
    </row>
    <row r="801" spans="1:16" x14ac:dyDescent="0.25">
      <c r="A801" s="2" t="s">
        <v>5008</v>
      </c>
      <c r="B801" s="8">
        <v>44588</v>
      </c>
      <c r="C801" s="2" t="s">
        <v>5009</v>
      </c>
      <c r="D801" t="s">
        <v>6183</v>
      </c>
      <c r="E801" s="2">
        <v>3</v>
      </c>
      <c r="F801" s="2" t="str">
        <f>_xlfn.XLOOKUP(orders!C801,customers!$A$1:$A$1001,customers!$B$1:$B$1001,,0)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9">
        <f>INDEX(products!$A$1:$G$49,MATCH(orders!$D801,products!$A$1:$A$49,0),MATCH(orders!K$1,products!$A$1:$G$1,0))</f>
        <v>1</v>
      </c>
      <c r="L801" s="10">
        <f>INDEX(products!$A$1:$G$49,MATCH(orders!$D801,products!$A$1:$A$49,0),MATCH(orders!L$1,products!$A$1:$G$1,0))</f>
        <v>12.15</v>
      </c>
      <c r="M801" s="10">
        <f t="shared" si="36"/>
        <v>36.450000000000003</v>
      </c>
      <c r="N801" t="str">
        <f t="shared" si="37"/>
        <v>Excelsa</v>
      </c>
      <c r="O801" t="str">
        <f t="shared" si="38"/>
        <v>Dark</v>
      </c>
      <c r="P801" t="str">
        <f>_xlfn.XLOOKUP(Table1[[#This Row],[Customer ID]],customers!$A$1:$A$1001,customers!$I$1:$I$1001,,0)</f>
        <v>Yes</v>
      </c>
    </row>
    <row r="802" spans="1:16" x14ac:dyDescent="0.25">
      <c r="A802" s="2" t="s">
        <v>5012</v>
      </c>
      <c r="B802" s="8">
        <v>44240</v>
      </c>
      <c r="C802" s="2" t="s">
        <v>5013</v>
      </c>
      <c r="D802" t="s">
        <v>6163</v>
      </c>
      <c r="E802" s="2">
        <v>6</v>
      </c>
      <c r="F802" s="2" t="str">
        <f>_xlfn.XLOOKUP(orders!C802,customers!$A$1:$A$1001,customers!$B$1:$B$1001,,0)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9">
        <f>INDEX(products!$A$1:$G$49,MATCH(orders!$D802,products!$A$1:$A$49,0),MATCH(orders!K$1,products!$A$1:$G$1,0))</f>
        <v>0.2</v>
      </c>
      <c r="L802" s="10">
        <f>INDEX(products!$A$1:$G$49,MATCH(orders!$D802,products!$A$1:$A$49,0),MATCH(orders!L$1,products!$A$1:$G$1,0))</f>
        <v>2.6849999999999996</v>
      </c>
      <c r="M802" s="10">
        <f t="shared" si="36"/>
        <v>16.11</v>
      </c>
      <c r="N802" t="str">
        <f t="shared" si="37"/>
        <v>Robusta</v>
      </c>
      <c r="O802" t="str">
        <f t="shared" si="38"/>
        <v>Dark</v>
      </c>
      <c r="P802" t="str">
        <f>_xlfn.XLOOKUP(Table1[[#This Row],[Customer ID]],customers!$A$1:$A$1001,customers!$I$1:$I$1001,,0)</f>
        <v>No</v>
      </c>
    </row>
    <row r="803" spans="1:16" x14ac:dyDescent="0.25">
      <c r="A803" s="2" t="s">
        <v>5018</v>
      </c>
      <c r="B803" s="8">
        <v>44025</v>
      </c>
      <c r="C803" s="2" t="s">
        <v>5019</v>
      </c>
      <c r="D803" t="s">
        <v>6149</v>
      </c>
      <c r="E803" s="2">
        <v>2</v>
      </c>
      <c r="F803" s="2" t="str">
        <f>_xlfn.XLOOKUP(orders!C803,customers!$A$1:$A$1001,customers!$B$1:$B$1001,,0)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9">
        <f>INDEX(products!$A$1:$G$49,MATCH(orders!$D803,products!$A$1:$A$49,0),MATCH(orders!K$1,products!$A$1:$G$1,0))</f>
        <v>2.5</v>
      </c>
      <c r="L803" s="10">
        <f>INDEX(products!$A$1:$G$49,MATCH(orders!$D803,products!$A$1:$A$49,0),MATCH(orders!L$1,products!$A$1:$G$1,0))</f>
        <v>20.584999999999997</v>
      </c>
      <c r="M803" s="10">
        <f t="shared" si="36"/>
        <v>41.169999999999995</v>
      </c>
      <c r="N803" t="str">
        <f t="shared" si="37"/>
        <v>Robusta</v>
      </c>
      <c r="O803" t="str">
        <f t="shared" si="38"/>
        <v>Dark</v>
      </c>
      <c r="P803" t="str">
        <f>_xlfn.XLOOKUP(Table1[[#This Row],[Customer ID]],customers!$A$1:$A$1001,customers!$I$1:$I$1001,,0)</f>
        <v>Yes</v>
      </c>
    </row>
    <row r="804" spans="1:16" x14ac:dyDescent="0.25">
      <c r="A804" s="2" t="s">
        <v>5024</v>
      </c>
      <c r="B804" s="8">
        <v>43902</v>
      </c>
      <c r="C804" s="2" t="s">
        <v>5025</v>
      </c>
      <c r="D804" t="s">
        <v>6163</v>
      </c>
      <c r="E804" s="2">
        <v>4</v>
      </c>
      <c r="F804" s="2" t="str">
        <f>_xlfn.XLOOKUP(orders!C804,customers!$A$1:$A$1001,customers!$B$1:$B$1001,,0)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9">
        <f>INDEX(products!$A$1:$G$49,MATCH(orders!$D804,products!$A$1:$A$49,0),MATCH(orders!K$1,products!$A$1:$G$1,0))</f>
        <v>0.2</v>
      </c>
      <c r="L804" s="10">
        <f>INDEX(products!$A$1:$G$49,MATCH(orders!$D804,products!$A$1:$A$49,0),MATCH(orders!L$1,products!$A$1:$G$1,0))</f>
        <v>2.6849999999999996</v>
      </c>
      <c r="M804" s="10">
        <f t="shared" si="36"/>
        <v>10.739999999999998</v>
      </c>
      <c r="N804" t="str">
        <f t="shared" si="37"/>
        <v>Robusta</v>
      </c>
      <c r="O804" t="str">
        <f t="shared" si="38"/>
        <v>Dark</v>
      </c>
      <c r="P804" t="str">
        <f>_xlfn.XLOOKUP(Table1[[#This Row],[Customer ID]],customers!$A$1:$A$1001,customers!$I$1:$I$1001,,0)</f>
        <v>No</v>
      </c>
    </row>
    <row r="805" spans="1:16" x14ac:dyDescent="0.25">
      <c r="A805" s="2" t="s">
        <v>5030</v>
      </c>
      <c r="B805" s="8">
        <v>43955</v>
      </c>
      <c r="C805" s="2" t="s">
        <v>5031</v>
      </c>
      <c r="D805" t="s">
        <v>6166</v>
      </c>
      <c r="E805" s="2">
        <v>4</v>
      </c>
      <c r="F805" s="2" t="str">
        <f>_xlfn.XLOOKUP(orders!C805,customers!$A$1:$A$1001,customers!$B$1:$B$1001,,0)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9">
        <f>INDEX(products!$A$1:$G$49,MATCH(orders!$D805,products!$A$1:$A$49,0),MATCH(orders!K$1,products!$A$1:$G$1,0))</f>
        <v>2.5</v>
      </c>
      <c r="L805" s="10">
        <f>INDEX(products!$A$1:$G$49,MATCH(orders!$D805,products!$A$1:$A$49,0),MATCH(orders!L$1,products!$A$1:$G$1,0))</f>
        <v>31.624999999999996</v>
      </c>
      <c r="M805" s="10">
        <f t="shared" si="36"/>
        <v>126.49999999999999</v>
      </c>
      <c r="N805" t="str">
        <f t="shared" si="37"/>
        <v>Excelsa</v>
      </c>
      <c r="O805" t="str">
        <f t="shared" si="38"/>
        <v>Medium</v>
      </c>
      <c r="P805" t="str">
        <f>_xlfn.XLOOKUP(Table1[[#This Row],[Customer ID]],customers!$A$1:$A$1001,customers!$I$1:$I$1001,,0)</f>
        <v>No</v>
      </c>
    </row>
    <row r="806" spans="1:16" x14ac:dyDescent="0.25">
      <c r="A806" s="2" t="s">
        <v>5035</v>
      </c>
      <c r="B806" s="8">
        <v>44289</v>
      </c>
      <c r="C806" s="2" t="s">
        <v>5036</v>
      </c>
      <c r="D806" t="s">
        <v>6179</v>
      </c>
      <c r="E806" s="2">
        <v>2</v>
      </c>
      <c r="F806" s="2" t="str">
        <f>_xlfn.XLOOKUP(orders!C806,customers!$A$1:$A$1001,customers!$B$1:$B$1001,,0)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9">
        <f>INDEX(products!$A$1:$G$49,MATCH(orders!$D806,products!$A$1:$A$49,0),MATCH(orders!K$1,products!$A$1:$G$1,0))</f>
        <v>1</v>
      </c>
      <c r="L806" s="10">
        <f>INDEX(products!$A$1:$G$49,MATCH(orders!$D806,products!$A$1:$A$49,0),MATCH(orders!L$1,products!$A$1:$G$1,0))</f>
        <v>11.95</v>
      </c>
      <c r="M806" s="10">
        <f t="shared" si="36"/>
        <v>23.9</v>
      </c>
      <c r="N806" t="str">
        <f t="shared" si="37"/>
        <v>Robusta</v>
      </c>
      <c r="O806" t="str">
        <f t="shared" si="38"/>
        <v>Light</v>
      </c>
      <c r="P806" t="str">
        <f>_xlfn.XLOOKUP(Table1[[#This Row],[Customer ID]],customers!$A$1:$A$1001,customers!$I$1:$I$1001,,0)</f>
        <v>No</v>
      </c>
    </row>
    <row r="807" spans="1:16" x14ac:dyDescent="0.25">
      <c r="A807" s="2" t="s">
        <v>5040</v>
      </c>
      <c r="B807" s="8">
        <v>44713</v>
      </c>
      <c r="C807" s="2" t="s">
        <v>5041</v>
      </c>
      <c r="D807" t="s">
        <v>6146</v>
      </c>
      <c r="E807" s="2">
        <v>1</v>
      </c>
      <c r="F807" s="2" t="str">
        <f>_xlfn.XLOOKUP(orders!C807,customers!$A$1:$A$1001,customers!$B$1:$B$1001,,0)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9">
        <f>INDEX(products!$A$1:$G$49,MATCH(orders!$D807,products!$A$1:$A$49,0),MATCH(orders!K$1,products!$A$1:$G$1,0))</f>
        <v>0.5</v>
      </c>
      <c r="L807" s="10">
        <f>INDEX(products!$A$1:$G$49,MATCH(orders!$D807,products!$A$1:$A$49,0),MATCH(orders!L$1,products!$A$1:$G$1,0))</f>
        <v>5.97</v>
      </c>
      <c r="M807" s="10">
        <f t="shared" si="36"/>
        <v>5.97</v>
      </c>
      <c r="N807" t="str">
        <f t="shared" si="37"/>
        <v>Robusta</v>
      </c>
      <c r="O807" t="str">
        <f t="shared" si="38"/>
        <v>Medium</v>
      </c>
      <c r="P807" t="str">
        <f>_xlfn.XLOOKUP(Table1[[#This Row],[Customer ID]],customers!$A$1:$A$1001,customers!$I$1:$I$1001,,0)</f>
        <v>No</v>
      </c>
    </row>
    <row r="808" spans="1:16" x14ac:dyDescent="0.25">
      <c r="A808" s="2" t="s">
        <v>5046</v>
      </c>
      <c r="B808" s="8">
        <v>44241</v>
      </c>
      <c r="C808" s="2" t="s">
        <v>5047</v>
      </c>
      <c r="D808" t="s">
        <v>6150</v>
      </c>
      <c r="E808" s="2">
        <v>2</v>
      </c>
      <c r="F808" s="2" t="str">
        <f>_xlfn.XLOOKUP(orders!C808,customers!$A$1:$A$1001,customers!$B$1:$B$1001,,0)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9">
        <f>INDEX(products!$A$1:$G$49,MATCH(orders!$D808,products!$A$1:$A$49,0),MATCH(orders!K$1,products!$A$1:$G$1,0))</f>
        <v>0.2</v>
      </c>
      <c r="L808" s="10">
        <f>INDEX(products!$A$1:$G$49,MATCH(orders!$D808,products!$A$1:$A$49,0),MATCH(orders!L$1,products!$A$1:$G$1,0))</f>
        <v>3.8849999999999998</v>
      </c>
      <c r="M808" s="10">
        <f t="shared" si="36"/>
        <v>7.77</v>
      </c>
      <c r="N808" t="str">
        <f t="shared" si="37"/>
        <v>Liberica</v>
      </c>
      <c r="O808" t="str">
        <f t="shared" si="38"/>
        <v>Dark</v>
      </c>
      <c r="P808" t="str">
        <f>_xlfn.XLOOKUP(Table1[[#This Row],[Customer ID]],customers!$A$1:$A$1001,customers!$I$1:$I$1001,,0)</f>
        <v>Yes</v>
      </c>
    </row>
    <row r="809" spans="1:16" x14ac:dyDescent="0.25">
      <c r="A809" s="2" t="s">
        <v>5050</v>
      </c>
      <c r="B809" s="8">
        <v>44543</v>
      </c>
      <c r="C809" s="2" t="s">
        <v>5051</v>
      </c>
      <c r="D809" t="s">
        <v>6169</v>
      </c>
      <c r="E809" s="2">
        <v>3</v>
      </c>
      <c r="F809" s="2" t="str">
        <f>_xlfn.XLOOKUP(orders!C809,customers!$A$1:$A$1001,customers!$B$1:$B$1001,,0)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9">
        <f>INDEX(products!$A$1:$G$49,MATCH(orders!$D809,products!$A$1:$A$49,0),MATCH(orders!K$1,products!$A$1:$G$1,0))</f>
        <v>0.5</v>
      </c>
      <c r="L809" s="10">
        <f>INDEX(products!$A$1:$G$49,MATCH(orders!$D809,products!$A$1:$A$49,0),MATCH(orders!L$1,products!$A$1:$G$1,0))</f>
        <v>7.77</v>
      </c>
      <c r="M809" s="10">
        <f t="shared" si="36"/>
        <v>23.31</v>
      </c>
      <c r="N809" t="str">
        <f t="shared" si="37"/>
        <v>Liberica</v>
      </c>
      <c r="O809" t="str">
        <f t="shared" si="38"/>
        <v>Dark</v>
      </c>
      <c r="P809" t="str">
        <f>_xlfn.XLOOKUP(Table1[[#This Row],[Customer ID]],customers!$A$1:$A$1001,customers!$I$1:$I$1001,,0)</f>
        <v>No</v>
      </c>
    </row>
    <row r="810" spans="1:16" x14ac:dyDescent="0.25">
      <c r="A810" s="2" t="s">
        <v>5056</v>
      </c>
      <c r="B810" s="8">
        <v>43868</v>
      </c>
      <c r="C810" s="2" t="s">
        <v>5113</v>
      </c>
      <c r="D810" t="s">
        <v>6142</v>
      </c>
      <c r="E810" s="2">
        <v>5</v>
      </c>
      <c r="F810" s="2" t="str">
        <f>_xlfn.XLOOKUP(orders!C810,customers!$A$1:$A$1001,customers!$B$1:$B$1001,,0)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9">
        <f>INDEX(products!$A$1:$G$49,MATCH(orders!$D810,products!$A$1:$A$49,0),MATCH(orders!K$1,products!$A$1:$G$1,0))</f>
        <v>2.5</v>
      </c>
      <c r="L810" s="10">
        <f>INDEX(products!$A$1:$G$49,MATCH(orders!$D810,products!$A$1:$A$49,0),MATCH(orders!L$1,products!$A$1:$G$1,0))</f>
        <v>27.484999999999996</v>
      </c>
      <c r="M810" s="10">
        <f t="shared" si="36"/>
        <v>137.42499999999998</v>
      </c>
      <c r="N810" t="str">
        <f t="shared" si="37"/>
        <v>Robusta</v>
      </c>
      <c r="O810" t="str">
        <f t="shared" si="38"/>
        <v>Light</v>
      </c>
      <c r="P810" t="str">
        <f>_xlfn.XLOOKUP(Table1[[#This Row],[Customer ID]],customers!$A$1:$A$1001,customers!$I$1:$I$1001,,0)</f>
        <v>No</v>
      </c>
    </row>
    <row r="811" spans="1:16" x14ac:dyDescent="0.25">
      <c r="A811" s="2" t="s">
        <v>5062</v>
      </c>
      <c r="B811" s="8">
        <v>44235</v>
      </c>
      <c r="C811" s="2" t="s">
        <v>5063</v>
      </c>
      <c r="D811" t="s">
        <v>6163</v>
      </c>
      <c r="E811" s="2">
        <v>3</v>
      </c>
      <c r="F811" s="2" t="str">
        <f>_xlfn.XLOOKUP(orders!C811,customers!$A$1:$A$1001,customers!$B$1:$B$1001,,0)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9">
        <f>INDEX(products!$A$1:$G$49,MATCH(orders!$D811,products!$A$1:$A$49,0),MATCH(orders!K$1,products!$A$1:$G$1,0))</f>
        <v>0.2</v>
      </c>
      <c r="L811" s="10">
        <f>INDEX(products!$A$1:$G$49,MATCH(orders!$D811,products!$A$1:$A$49,0),MATCH(orders!L$1,products!$A$1:$G$1,0))</f>
        <v>2.6849999999999996</v>
      </c>
      <c r="M811" s="10">
        <f t="shared" si="36"/>
        <v>8.0549999999999997</v>
      </c>
      <c r="N811" t="str">
        <f t="shared" si="37"/>
        <v>Robusta</v>
      </c>
      <c r="O811" t="str">
        <f t="shared" si="38"/>
        <v>Dark</v>
      </c>
      <c r="P811" t="str">
        <f>_xlfn.XLOOKUP(Table1[[#This Row],[Customer ID]],customers!$A$1:$A$1001,customers!$I$1:$I$1001,,0)</f>
        <v>Yes</v>
      </c>
    </row>
    <row r="812" spans="1:16" x14ac:dyDescent="0.25">
      <c r="A812" s="2" t="s">
        <v>5067</v>
      </c>
      <c r="B812" s="8">
        <v>44054</v>
      </c>
      <c r="C812" s="2" t="s">
        <v>5068</v>
      </c>
      <c r="D812" t="s">
        <v>6161</v>
      </c>
      <c r="E812" s="2">
        <v>3</v>
      </c>
      <c r="F812" s="2" t="str">
        <f>_xlfn.XLOOKUP(orders!C812,customers!$A$1:$A$1001,customers!$B$1:$B$1001,,0)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9">
        <f>INDEX(products!$A$1:$G$49,MATCH(orders!$D812,products!$A$1:$A$49,0),MATCH(orders!K$1,products!$A$1:$G$1,0))</f>
        <v>0.5</v>
      </c>
      <c r="L812" s="10">
        <f>INDEX(products!$A$1:$G$49,MATCH(orders!$D812,products!$A$1:$A$49,0),MATCH(orders!L$1,products!$A$1:$G$1,0))</f>
        <v>9.51</v>
      </c>
      <c r="M812" s="10">
        <f t="shared" si="36"/>
        <v>28.53</v>
      </c>
      <c r="N812" t="str">
        <f t="shared" si="37"/>
        <v>Liberica</v>
      </c>
      <c r="O812" t="str">
        <f t="shared" si="38"/>
        <v>Light</v>
      </c>
      <c r="P812" t="str">
        <f>_xlfn.XLOOKUP(Table1[[#This Row],[Customer ID]],customers!$A$1:$A$1001,customers!$I$1:$I$1001,,0)</f>
        <v>No</v>
      </c>
    </row>
    <row r="813" spans="1:16" x14ac:dyDescent="0.25">
      <c r="A813" s="2" t="s">
        <v>5073</v>
      </c>
      <c r="B813" s="8">
        <v>44114</v>
      </c>
      <c r="C813" s="2" t="s">
        <v>5074</v>
      </c>
      <c r="D813" t="s">
        <v>6155</v>
      </c>
      <c r="E813" s="2">
        <v>6</v>
      </c>
      <c r="F813" s="2" t="str">
        <f>_xlfn.XLOOKUP(orders!C813,customers!$A$1:$A$1001,customers!$B$1:$B$1001,,0)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9">
        <f>INDEX(products!$A$1:$G$49,MATCH(orders!$D813,products!$A$1:$A$49,0),MATCH(orders!K$1,products!$A$1:$G$1,0))</f>
        <v>1</v>
      </c>
      <c r="L813" s="10">
        <f>INDEX(products!$A$1:$G$49,MATCH(orders!$D813,products!$A$1:$A$49,0),MATCH(orders!L$1,products!$A$1:$G$1,0))</f>
        <v>11.25</v>
      </c>
      <c r="M813" s="10">
        <f t="shared" si="36"/>
        <v>67.5</v>
      </c>
      <c r="N813" t="str">
        <f t="shared" si="37"/>
        <v>Arabica</v>
      </c>
      <c r="O813" t="str">
        <f t="shared" si="38"/>
        <v>Medium</v>
      </c>
      <c r="P813" t="str">
        <f>_xlfn.XLOOKUP(Table1[[#This Row],[Customer ID]],customers!$A$1:$A$1001,customers!$I$1:$I$1001,,0)</f>
        <v>Yes</v>
      </c>
    </row>
    <row r="814" spans="1:16" x14ac:dyDescent="0.25">
      <c r="A814" s="2" t="s">
        <v>5073</v>
      </c>
      <c r="B814" s="8">
        <v>44114</v>
      </c>
      <c r="C814" s="2" t="s">
        <v>5074</v>
      </c>
      <c r="D814" t="s">
        <v>6165</v>
      </c>
      <c r="E814" s="2">
        <v>6</v>
      </c>
      <c r="F814" s="2" t="str">
        <f>_xlfn.XLOOKUP(orders!C814,customers!$A$1:$A$1001,customers!$B$1:$B$1001,,0)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9">
        <f>INDEX(products!$A$1:$G$49,MATCH(orders!$D814,products!$A$1:$A$49,0),MATCH(orders!K$1,products!$A$1:$G$1,0))</f>
        <v>2.5</v>
      </c>
      <c r="L814" s="10">
        <f>INDEX(products!$A$1:$G$49,MATCH(orders!$D814,products!$A$1:$A$49,0),MATCH(orders!L$1,products!$A$1:$G$1,0))</f>
        <v>29.784999999999997</v>
      </c>
      <c r="M814" s="10">
        <f t="shared" si="36"/>
        <v>178.70999999999998</v>
      </c>
      <c r="N814" t="str">
        <f t="shared" si="37"/>
        <v>Liberica</v>
      </c>
      <c r="O814" t="str">
        <f t="shared" si="38"/>
        <v>Dark</v>
      </c>
      <c r="P814" t="str">
        <f>_xlfn.XLOOKUP(Table1[[#This Row],[Customer ID]],customers!$A$1:$A$1001,customers!$I$1:$I$1001,,0)</f>
        <v>Yes</v>
      </c>
    </row>
    <row r="815" spans="1:16" x14ac:dyDescent="0.25">
      <c r="A815" s="2" t="s">
        <v>5084</v>
      </c>
      <c r="B815" s="8">
        <v>44173</v>
      </c>
      <c r="C815" s="2" t="s">
        <v>5085</v>
      </c>
      <c r="D815" t="s">
        <v>6166</v>
      </c>
      <c r="E815" s="2">
        <v>1</v>
      </c>
      <c r="F815" s="2" t="str">
        <f>_xlfn.XLOOKUP(orders!C815,customers!$A$1:$A$1001,customers!$B$1:$B$1001,,0)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9">
        <f>INDEX(products!$A$1:$G$49,MATCH(orders!$D815,products!$A$1:$A$49,0),MATCH(orders!K$1,products!$A$1:$G$1,0))</f>
        <v>2.5</v>
      </c>
      <c r="L815" s="10">
        <f>INDEX(products!$A$1:$G$49,MATCH(orders!$D815,products!$A$1:$A$49,0),MATCH(orders!L$1,products!$A$1:$G$1,0))</f>
        <v>31.624999999999996</v>
      </c>
      <c r="M815" s="10">
        <f t="shared" si="36"/>
        <v>31.624999999999996</v>
      </c>
      <c r="N815" t="str">
        <f t="shared" si="37"/>
        <v>Excelsa</v>
      </c>
      <c r="O815" t="str">
        <f t="shared" si="38"/>
        <v>Medium</v>
      </c>
      <c r="P815" t="str">
        <f>_xlfn.XLOOKUP(Table1[[#This Row],[Customer ID]],customers!$A$1:$A$1001,customers!$I$1:$I$1001,,0)</f>
        <v>Yes</v>
      </c>
    </row>
    <row r="816" spans="1:16" x14ac:dyDescent="0.25">
      <c r="A816" s="2" t="s">
        <v>5090</v>
      </c>
      <c r="B816" s="8">
        <v>43573</v>
      </c>
      <c r="C816" s="2" t="s">
        <v>5091</v>
      </c>
      <c r="D816" t="s">
        <v>6184</v>
      </c>
      <c r="E816" s="2">
        <v>2</v>
      </c>
      <c r="F816" s="2" t="str">
        <f>_xlfn.XLOOKUP(orders!C816,customers!$A$1:$A$1001,customers!$B$1:$B$1001,,0)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9">
        <f>INDEX(products!$A$1:$G$49,MATCH(orders!$D816,products!$A$1:$A$49,0),MATCH(orders!K$1,products!$A$1:$G$1,0))</f>
        <v>0.2</v>
      </c>
      <c r="L816" s="10">
        <f>INDEX(products!$A$1:$G$49,MATCH(orders!$D816,products!$A$1:$A$49,0),MATCH(orders!L$1,products!$A$1:$G$1,0))</f>
        <v>4.4550000000000001</v>
      </c>
      <c r="M816" s="10">
        <f t="shared" si="36"/>
        <v>8.91</v>
      </c>
      <c r="N816" t="str">
        <f t="shared" si="37"/>
        <v>Excelsa</v>
      </c>
      <c r="O816" t="str">
        <f t="shared" si="38"/>
        <v>Light</v>
      </c>
      <c r="P816" t="str">
        <f>_xlfn.XLOOKUP(Table1[[#This Row],[Customer ID]],customers!$A$1:$A$1001,customers!$I$1:$I$1001,,0)</f>
        <v>No</v>
      </c>
    </row>
    <row r="817" spans="1:16" x14ac:dyDescent="0.25">
      <c r="A817" s="2" t="s">
        <v>5096</v>
      </c>
      <c r="B817" s="8">
        <v>44200</v>
      </c>
      <c r="C817" s="2" t="s">
        <v>5097</v>
      </c>
      <c r="D817" t="s">
        <v>6146</v>
      </c>
      <c r="E817" s="2">
        <v>6</v>
      </c>
      <c r="F817" s="2" t="str">
        <f>_xlfn.XLOOKUP(orders!C817,customers!$A$1:$A$1001,customers!$B$1:$B$1001,,0)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9">
        <f>INDEX(products!$A$1:$G$49,MATCH(orders!$D817,products!$A$1:$A$49,0),MATCH(orders!K$1,products!$A$1:$G$1,0))</f>
        <v>0.5</v>
      </c>
      <c r="L817" s="10">
        <f>INDEX(products!$A$1:$G$49,MATCH(orders!$D817,products!$A$1:$A$49,0),MATCH(orders!L$1,products!$A$1:$G$1,0))</f>
        <v>5.97</v>
      </c>
      <c r="M817" s="10">
        <f t="shared" si="36"/>
        <v>35.82</v>
      </c>
      <c r="N817" t="str">
        <f t="shared" si="37"/>
        <v>Robusta</v>
      </c>
      <c r="O817" t="str">
        <f t="shared" si="38"/>
        <v>Medium</v>
      </c>
      <c r="P817" t="str">
        <f>_xlfn.XLOOKUP(Table1[[#This Row],[Customer ID]],customers!$A$1:$A$1001,customers!$I$1:$I$1001,,0)</f>
        <v>No</v>
      </c>
    </row>
    <row r="818" spans="1:16" x14ac:dyDescent="0.25">
      <c r="A818" s="2" t="s">
        <v>5102</v>
      </c>
      <c r="B818" s="8">
        <v>43534</v>
      </c>
      <c r="C818" s="2" t="s">
        <v>5103</v>
      </c>
      <c r="D818" t="s">
        <v>6161</v>
      </c>
      <c r="E818" s="2">
        <v>4</v>
      </c>
      <c r="F818" s="2" t="str">
        <f>_xlfn.XLOOKUP(orders!C818,customers!$A$1:$A$1001,customers!$B$1:$B$1001,,0)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9">
        <f>INDEX(products!$A$1:$G$49,MATCH(orders!$D818,products!$A$1:$A$49,0),MATCH(orders!K$1,products!$A$1:$G$1,0))</f>
        <v>0.5</v>
      </c>
      <c r="L818" s="10">
        <f>INDEX(products!$A$1:$G$49,MATCH(orders!$D818,products!$A$1:$A$49,0),MATCH(orders!L$1,products!$A$1:$G$1,0))</f>
        <v>9.51</v>
      </c>
      <c r="M818" s="10">
        <f t="shared" si="36"/>
        <v>38.04</v>
      </c>
      <c r="N818" t="str">
        <f t="shared" si="37"/>
        <v>Liberica</v>
      </c>
      <c r="O818" t="str">
        <f t="shared" si="38"/>
        <v>Light</v>
      </c>
      <c r="P818" t="str">
        <f>_xlfn.XLOOKUP(Table1[[#This Row],[Customer ID]],customers!$A$1:$A$1001,customers!$I$1:$I$1001,,0)</f>
        <v>No</v>
      </c>
    </row>
    <row r="819" spans="1:16" x14ac:dyDescent="0.25">
      <c r="A819" s="2" t="s">
        <v>5107</v>
      </c>
      <c r="B819" s="8">
        <v>43798</v>
      </c>
      <c r="C819" s="2" t="s">
        <v>5108</v>
      </c>
      <c r="D819" t="s">
        <v>6169</v>
      </c>
      <c r="E819" s="2">
        <v>2</v>
      </c>
      <c r="F819" s="2" t="str">
        <f>_xlfn.XLOOKUP(orders!C819,customers!$A$1:$A$1001,customers!$B$1:$B$1001,,0)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9">
        <f>INDEX(products!$A$1:$G$49,MATCH(orders!$D819,products!$A$1:$A$49,0),MATCH(orders!K$1,products!$A$1:$G$1,0))</f>
        <v>0.5</v>
      </c>
      <c r="L819" s="10">
        <f>INDEX(products!$A$1:$G$49,MATCH(orders!$D819,products!$A$1:$A$49,0),MATCH(orders!L$1,products!$A$1:$G$1,0))</f>
        <v>7.77</v>
      </c>
      <c r="M819" s="10">
        <f t="shared" si="36"/>
        <v>15.54</v>
      </c>
      <c r="N819" t="str">
        <f t="shared" si="37"/>
        <v>Liberica</v>
      </c>
      <c r="O819" t="str">
        <f t="shared" si="38"/>
        <v>Dark</v>
      </c>
      <c r="P819" t="str">
        <f>_xlfn.XLOOKUP(Table1[[#This Row],[Customer ID]],customers!$A$1:$A$1001,customers!$I$1:$I$1001,,0)</f>
        <v>No</v>
      </c>
    </row>
    <row r="820" spans="1:16" x14ac:dyDescent="0.25">
      <c r="A820" s="2" t="s">
        <v>5112</v>
      </c>
      <c r="B820" s="8">
        <v>44761</v>
      </c>
      <c r="C820" s="2" t="s">
        <v>5113</v>
      </c>
      <c r="D820" t="s">
        <v>6170</v>
      </c>
      <c r="E820" s="2">
        <v>5</v>
      </c>
      <c r="F820" s="2" t="str">
        <f>_xlfn.XLOOKUP(orders!C820,customers!$A$1:$A$1001,customers!$B$1:$B$1001,,0)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9">
        <f>INDEX(products!$A$1:$G$49,MATCH(orders!$D820,products!$A$1:$A$49,0),MATCH(orders!K$1,products!$A$1:$G$1,0))</f>
        <v>1</v>
      </c>
      <c r="L820" s="10">
        <f>INDEX(products!$A$1:$G$49,MATCH(orders!$D820,products!$A$1:$A$49,0),MATCH(orders!L$1,products!$A$1:$G$1,0))</f>
        <v>15.85</v>
      </c>
      <c r="M820" s="10">
        <f t="shared" si="36"/>
        <v>79.25</v>
      </c>
      <c r="N820" t="str">
        <f t="shared" si="37"/>
        <v>Liberica</v>
      </c>
      <c r="O820" t="str">
        <f t="shared" si="38"/>
        <v>Light</v>
      </c>
      <c r="P820" t="str">
        <f>_xlfn.XLOOKUP(Table1[[#This Row],[Customer ID]],customers!$A$1:$A$1001,customers!$I$1:$I$1001,,0)</f>
        <v>No</v>
      </c>
    </row>
    <row r="821" spans="1:16" x14ac:dyDescent="0.25">
      <c r="A821" s="2" t="s">
        <v>5117</v>
      </c>
      <c r="B821" s="8">
        <v>44008</v>
      </c>
      <c r="C821" s="2" t="s">
        <v>5118</v>
      </c>
      <c r="D821" t="s">
        <v>6145</v>
      </c>
      <c r="E821" s="2">
        <v>1</v>
      </c>
      <c r="F821" s="2" t="str">
        <f>_xlfn.XLOOKUP(orders!C821,customers!$A$1:$A$1001,customers!$B$1:$B$1001,,0)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9">
        <f>INDEX(products!$A$1:$G$49,MATCH(orders!$D821,products!$A$1:$A$49,0),MATCH(orders!K$1,products!$A$1:$G$1,0))</f>
        <v>0.2</v>
      </c>
      <c r="L821" s="10">
        <f>INDEX(products!$A$1:$G$49,MATCH(orders!$D821,products!$A$1:$A$49,0),MATCH(orders!L$1,products!$A$1:$G$1,0))</f>
        <v>4.7549999999999999</v>
      </c>
      <c r="M821" s="10">
        <f t="shared" si="36"/>
        <v>4.7549999999999999</v>
      </c>
      <c r="N821" t="str">
        <f t="shared" si="37"/>
        <v>Liberica</v>
      </c>
      <c r="O821" t="str">
        <f t="shared" si="38"/>
        <v>Light</v>
      </c>
      <c r="P821" t="str">
        <f>_xlfn.XLOOKUP(Table1[[#This Row],[Customer ID]],customers!$A$1:$A$1001,customers!$I$1:$I$1001,,0)</f>
        <v>Yes</v>
      </c>
    </row>
    <row r="822" spans="1:16" x14ac:dyDescent="0.25">
      <c r="A822" s="2" t="s">
        <v>5123</v>
      </c>
      <c r="B822" s="8">
        <v>43510</v>
      </c>
      <c r="C822" s="2" t="s">
        <v>5124</v>
      </c>
      <c r="D822" t="s">
        <v>6141</v>
      </c>
      <c r="E822" s="2">
        <v>4</v>
      </c>
      <c r="F822" s="2" t="str">
        <f>_xlfn.XLOOKUP(orders!C822,customers!$A$1:$A$1001,customers!$B$1:$B$1001,,0)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9">
        <f>INDEX(products!$A$1:$G$49,MATCH(orders!$D822,products!$A$1:$A$49,0),MATCH(orders!K$1,products!$A$1:$G$1,0))</f>
        <v>1</v>
      </c>
      <c r="L822" s="10">
        <f>INDEX(products!$A$1:$G$49,MATCH(orders!$D822,products!$A$1:$A$49,0),MATCH(orders!L$1,products!$A$1:$G$1,0))</f>
        <v>13.75</v>
      </c>
      <c r="M822" s="10">
        <f t="shared" si="36"/>
        <v>55</v>
      </c>
      <c r="N822" t="str">
        <f t="shared" si="37"/>
        <v>Excelsa</v>
      </c>
      <c r="O822" t="str">
        <f t="shared" si="38"/>
        <v>Medium</v>
      </c>
      <c r="P822" t="str">
        <f>_xlfn.XLOOKUP(Table1[[#This Row],[Customer ID]],customers!$A$1:$A$1001,customers!$I$1:$I$1001,,0)</f>
        <v>Yes</v>
      </c>
    </row>
    <row r="823" spans="1:16" x14ac:dyDescent="0.25">
      <c r="A823" s="2" t="s">
        <v>5129</v>
      </c>
      <c r="B823" s="8">
        <v>44144</v>
      </c>
      <c r="C823" s="2" t="s">
        <v>5130</v>
      </c>
      <c r="D823" t="s">
        <v>6172</v>
      </c>
      <c r="E823" s="2">
        <v>5</v>
      </c>
      <c r="F823" s="2" t="str">
        <f>_xlfn.XLOOKUP(orders!C823,customers!$A$1:$A$1001,customers!$B$1:$B$1001,,0)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9">
        <f>INDEX(products!$A$1:$G$49,MATCH(orders!$D823,products!$A$1:$A$49,0),MATCH(orders!K$1,products!$A$1:$G$1,0))</f>
        <v>0.5</v>
      </c>
      <c r="L823" s="10">
        <f>INDEX(products!$A$1:$G$49,MATCH(orders!$D823,products!$A$1:$A$49,0),MATCH(orders!L$1,products!$A$1:$G$1,0))</f>
        <v>5.3699999999999992</v>
      </c>
      <c r="M823" s="10">
        <f t="shared" si="36"/>
        <v>26.849999999999994</v>
      </c>
      <c r="N823" t="str">
        <f t="shared" si="37"/>
        <v>Robusta</v>
      </c>
      <c r="O823" t="str">
        <f t="shared" si="38"/>
        <v>Dark</v>
      </c>
      <c r="P823" t="str">
        <f>_xlfn.XLOOKUP(Table1[[#This Row],[Customer ID]],customers!$A$1:$A$1001,customers!$I$1:$I$1001,,0)</f>
        <v>No</v>
      </c>
    </row>
    <row r="824" spans="1:16" x14ac:dyDescent="0.25">
      <c r="A824" s="2" t="s">
        <v>5135</v>
      </c>
      <c r="B824" s="8">
        <v>43585</v>
      </c>
      <c r="C824" s="2" t="s">
        <v>5136</v>
      </c>
      <c r="D824" t="s">
        <v>6148</v>
      </c>
      <c r="E824" s="2">
        <v>4</v>
      </c>
      <c r="F824" s="2" t="str">
        <f>_xlfn.XLOOKUP(orders!C824,customers!$A$1:$A$1001,customers!$B$1:$B$1001,,0)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9">
        <f>INDEX(products!$A$1:$G$49,MATCH(orders!$D824,products!$A$1:$A$49,0),MATCH(orders!K$1,products!$A$1:$G$1,0))</f>
        <v>2.5</v>
      </c>
      <c r="L824" s="10">
        <f>INDEX(products!$A$1:$G$49,MATCH(orders!$D824,products!$A$1:$A$49,0),MATCH(orders!L$1,products!$A$1:$G$1,0))</f>
        <v>34.154999999999994</v>
      </c>
      <c r="M824" s="10">
        <f t="shared" si="36"/>
        <v>136.61999999999998</v>
      </c>
      <c r="N824" t="str">
        <f t="shared" si="37"/>
        <v>Excelsa</v>
      </c>
      <c r="O824" t="str">
        <f t="shared" si="38"/>
        <v>Light</v>
      </c>
      <c r="P824" t="str">
        <f>_xlfn.XLOOKUP(Table1[[#This Row],[Customer ID]],customers!$A$1:$A$1001,customers!$I$1:$I$1001,,0)</f>
        <v>No</v>
      </c>
    </row>
    <row r="825" spans="1:16" x14ac:dyDescent="0.25">
      <c r="A825" s="2" t="s">
        <v>5141</v>
      </c>
      <c r="B825" s="8">
        <v>44134</v>
      </c>
      <c r="C825" s="2" t="s">
        <v>5142</v>
      </c>
      <c r="D825" t="s">
        <v>6170</v>
      </c>
      <c r="E825" s="2">
        <v>3</v>
      </c>
      <c r="F825" s="2" t="str">
        <f>_xlfn.XLOOKUP(orders!C825,customers!$A$1:$A$1001,customers!$B$1:$B$1001,,0)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9">
        <f>INDEX(products!$A$1:$G$49,MATCH(orders!$D825,products!$A$1:$A$49,0),MATCH(orders!K$1,products!$A$1:$G$1,0))</f>
        <v>1</v>
      </c>
      <c r="L825" s="10">
        <f>INDEX(products!$A$1:$G$49,MATCH(orders!$D825,products!$A$1:$A$49,0),MATCH(orders!L$1,products!$A$1:$G$1,0))</f>
        <v>15.85</v>
      </c>
      <c r="M825" s="10">
        <f t="shared" si="36"/>
        <v>47.55</v>
      </c>
      <c r="N825" t="str">
        <f t="shared" si="37"/>
        <v>Liberica</v>
      </c>
      <c r="O825" t="str">
        <f t="shared" si="38"/>
        <v>Light</v>
      </c>
      <c r="P825" t="str">
        <f>_xlfn.XLOOKUP(Table1[[#This Row],[Customer ID]],customers!$A$1:$A$1001,customers!$I$1:$I$1001,,0)</f>
        <v>Yes</v>
      </c>
    </row>
    <row r="826" spans="1:16" x14ac:dyDescent="0.25">
      <c r="A826" s="2" t="s">
        <v>5147</v>
      </c>
      <c r="B826" s="8">
        <v>43781</v>
      </c>
      <c r="C826" s="2" t="s">
        <v>5148</v>
      </c>
      <c r="D826" t="s">
        <v>6152</v>
      </c>
      <c r="E826" s="2">
        <v>5</v>
      </c>
      <c r="F826" s="2" t="str">
        <f>_xlfn.XLOOKUP(orders!C826,customers!$A$1:$A$1001,customers!$B$1:$B$1001,,0)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9">
        <f>INDEX(products!$A$1:$G$49,MATCH(orders!$D826,products!$A$1:$A$49,0),MATCH(orders!K$1,products!$A$1:$G$1,0))</f>
        <v>0.2</v>
      </c>
      <c r="L826" s="10">
        <f>INDEX(products!$A$1:$G$49,MATCH(orders!$D826,products!$A$1:$A$49,0),MATCH(orders!L$1,products!$A$1:$G$1,0))</f>
        <v>3.375</v>
      </c>
      <c r="M826" s="10">
        <f t="shared" si="36"/>
        <v>16.875</v>
      </c>
      <c r="N826" t="str">
        <f t="shared" si="37"/>
        <v>Arabica</v>
      </c>
      <c r="O826" t="str">
        <f t="shared" si="38"/>
        <v>Medium</v>
      </c>
      <c r="P826" t="str">
        <f>_xlfn.XLOOKUP(Table1[[#This Row],[Customer ID]],customers!$A$1:$A$1001,customers!$I$1:$I$1001,,0)</f>
        <v>Yes</v>
      </c>
    </row>
    <row r="827" spans="1:16" x14ac:dyDescent="0.25">
      <c r="A827" s="2" t="s">
        <v>5152</v>
      </c>
      <c r="B827" s="8">
        <v>44603</v>
      </c>
      <c r="C827" s="2" t="s">
        <v>5188</v>
      </c>
      <c r="D827" t="s">
        <v>6147</v>
      </c>
      <c r="E827" s="2">
        <v>3</v>
      </c>
      <c r="F827" s="2" t="str">
        <f>_xlfn.XLOOKUP(orders!C827,customers!$A$1:$A$1001,customers!$B$1:$B$1001,,0)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9">
        <f>INDEX(products!$A$1:$G$49,MATCH(orders!$D827,products!$A$1:$A$49,0),MATCH(orders!K$1,products!$A$1:$G$1,0))</f>
        <v>1</v>
      </c>
      <c r="L827" s="10">
        <f>INDEX(products!$A$1:$G$49,MATCH(orders!$D827,products!$A$1:$A$49,0),MATCH(orders!L$1,products!$A$1:$G$1,0))</f>
        <v>9.9499999999999993</v>
      </c>
      <c r="M827" s="10">
        <f t="shared" si="36"/>
        <v>29.849999999999998</v>
      </c>
      <c r="N827" t="str">
        <f t="shared" si="37"/>
        <v>Arabica</v>
      </c>
      <c r="O827" t="str">
        <f t="shared" si="38"/>
        <v>Dark</v>
      </c>
      <c r="P827" t="str">
        <f>_xlfn.XLOOKUP(Table1[[#This Row],[Customer ID]],customers!$A$1:$A$1001,customers!$I$1:$I$1001,,0)</f>
        <v>Yes</v>
      </c>
    </row>
    <row r="828" spans="1:16" x14ac:dyDescent="0.25">
      <c r="A828" s="2" t="s">
        <v>5158</v>
      </c>
      <c r="B828" s="8">
        <v>44283</v>
      </c>
      <c r="C828" s="2" t="s">
        <v>5159</v>
      </c>
      <c r="D828" t="s">
        <v>6139</v>
      </c>
      <c r="E828" s="2">
        <v>5</v>
      </c>
      <c r="F828" s="2" t="str">
        <f>_xlfn.XLOOKUP(orders!C828,customers!$A$1:$A$1001,customers!$B$1:$B$1001,,0)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9">
        <f>INDEX(products!$A$1:$G$49,MATCH(orders!$D828,products!$A$1:$A$49,0),MATCH(orders!K$1,products!$A$1:$G$1,0))</f>
        <v>0.5</v>
      </c>
      <c r="L828" s="10">
        <f>INDEX(products!$A$1:$G$49,MATCH(orders!$D828,products!$A$1:$A$49,0),MATCH(orders!L$1,products!$A$1:$G$1,0))</f>
        <v>8.25</v>
      </c>
      <c r="M828" s="10">
        <f t="shared" si="36"/>
        <v>41.25</v>
      </c>
      <c r="N828" t="str">
        <f t="shared" si="37"/>
        <v>Excelsa</v>
      </c>
      <c r="O828" t="str">
        <f t="shared" si="38"/>
        <v>Medium</v>
      </c>
      <c r="P828" t="str">
        <f>_xlfn.XLOOKUP(Table1[[#This Row],[Customer ID]],customers!$A$1:$A$1001,customers!$I$1:$I$1001,,0)</f>
        <v>Yes</v>
      </c>
    </row>
    <row r="829" spans="1:16" x14ac:dyDescent="0.25">
      <c r="A829" s="2" t="s">
        <v>5164</v>
      </c>
      <c r="B829" s="8">
        <v>44540</v>
      </c>
      <c r="C829" s="2" t="s">
        <v>5165</v>
      </c>
      <c r="D829" t="s">
        <v>6156</v>
      </c>
      <c r="E829" s="2">
        <v>5</v>
      </c>
      <c r="F829" s="2" t="str">
        <f>_xlfn.XLOOKUP(orders!C829,customers!$A$1:$A$1001,customers!$B$1:$B$1001,,0)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9">
        <f>INDEX(products!$A$1:$G$49,MATCH(orders!$D829,products!$A$1:$A$49,0),MATCH(orders!K$1,products!$A$1:$G$1,0))</f>
        <v>0.2</v>
      </c>
      <c r="L829" s="10">
        <f>INDEX(products!$A$1:$G$49,MATCH(orders!$D829,products!$A$1:$A$49,0),MATCH(orders!L$1,products!$A$1:$G$1,0))</f>
        <v>4.125</v>
      </c>
      <c r="M829" s="10">
        <f t="shared" si="36"/>
        <v>20.625</v>
      </c>
      <c r="N829" t="str">
        <f t="shared" si="37"/>
        <v>Excelsa</v>
      </c>
      <c r="O829" t="str">
        <f t="shared" si="38"/>
        <v>Medium</v>
      </c>
      <c r="P829" t="str">
        <f>_xlfn.XLOOKUP(Table1[[#This Row],[Customer ID]],customers!$A$1:$A$1001,customers!$I$1:$I$1001,,0)</f>
        <v>No</v>
      </c>
    </row>
    <row r="830" spans="1:16" x14ac:dyDescent="0.25">
      <c r="A830" s="2" t="s">
        <v>5170</v>
      </c>
      <c r="B830" s="8">
        <v>44505</v>
      </c>
      <c r="C830" s="2" t="s">
        <v>5171</v>
      </c>
      <c r="D830" t="s">
        <v>6168</v>
      </c>
      <c r="E830" s="2">
        <v>6</v>
      </c>
      <c r="F830" s="2" t="str">
        <f>_xlfn.XLOOKUP(orders!C830,customers!$A$1:$A$1001,customers!$B$1:$B$1001,,0)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9">
        <f>INDEX(products!$A$1:$G$49,MATCH(orders!$D830,products!$A$1:$A$49,0),MATCH(orders!K$1,products!$A$1:$G$1,0))</f>
        <v>2.5</v>
      </c>
      <c r="L830" s="10">
        <f>INDEX(products!$A$1:$G$49,MATCH(orders!$D830,products!$A$1:$A$49,0),MATCH(orders!L$1,products!$A$1:$G$1,0))</f>
        <v>22.884999999999998</v>
      </c>
      <c r="M830" s="10">
        <f t="shared" si="36"/>
        <v>137.31</v>
      </c>
      <c r="N830" t="str">
        <f t="shared" si="37"/>
        <v>Arabica</v>
      </c>
      <c r="O830" t="str">
        <f t="shared" si="38"/>
        <v>Dark</v>
      </c>
      <c r="P830" t="str">
        <f>_xlfn.XLOOKUP(Table1[[#This Row],[Customer ID]],customers!$A$1:$A$1001,customers!$I$1:$I$1001,,0)</f>
        <v>Yes</v>
      </c>
    </row>
    <row r="831" spans="1:16" x14ac:dyDescent="0.25">
      <c r="A831" s="2" t="s">
        <v>5176</v>
      </c>
      <c r="B831" s="8">
        <v>43890</v>
      </c>
      <c r="C831" s="2" t="s">
        <v>5177</v>
      </c>
      <c r="D831" t="s">
        <v>6154</v>
      </c>
      <c r="E831" s="2">
        <v>1</v>
      </c>
      <c r="F831" s="2" t="str">
        <f>_xlfn.XLOOKUP(orders!C831,customers!$A$1:$A$1001,customers!$B$1:$B$1001,,0)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9">
        <f>INDEX(products!$A$1:$G$49,MATCH(orders!$D831,products!$A$1:$A$49,0),MATCH(orders!K$1,products!$A$1:$G$1,0))</f>
        <v>0.2</v>
      </c>
      <c r="L831" s="10">
        <f>INDEX(products!$A$1:$G$49,MATCH(orders!$D831,products!$A$1:$A$49,0),MATCH(orders!L$1,products!$A$1:$G$1,0))</f>
        <v>2.9849999999999999</v>
      </c>
      <c r="M831" s="10">
        <f t="shared" si="36"/>
        <v>2.9849999999999999</v>
      </c>
      <c r="N831" t="str">
        <f t="shared" si="37"/>
        <v>Arabica</v>
      </c>
      <c r="O831" t="str">
        <f t="shared" si="38"/>
        <v>Dark</v>
      </c>
      <c r="P831" t="str">
        <f>_xlfn.XLOOKUP(Table1[[#This Row],[Customer ID]],customers!$A$1:$A$1001,customers!$I$1:$I$1001,,0)</f>
        <v>No</v>
      </c>
    </row>
    <row r="832" spans="1:16" x14ac:dyDescent="0.25">
      <c r="A832" s="2" t="s">
        <v>5182</v>
      </c>
      <c r="B832" s="8">
        <v>44414</v>
      </c>
      <c r="C832" s="2" t="s">
        <v>5183</v>
      </c>
      <c r="D832" t="s">
        <v>6141</v>
      </c>
      <c r="E832" s="2">
        <v>2</v>
      </c>
      <c r="F832" s="2" t="str">
        <f>_xlfn.XLOOKUP(orders!C832,customers!$A$1:$A$1001,customers!$B$1:$B$1001,,0)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9">
        <f>INDEX(products!$A$1:$G$49,MATCH(orders!$D832,products!$A$1:$A$49,0),MATCH(orders!K$1,products!$A$1:$G$1,0))</f>
        <v>1</v>
      </c>
      <c r="L832" s="10">
        <f>INDEX(products!$A$1:$G$49,MATCH(orders!$D832,products!$A$1:$A$49,0),MATCH(orders!L$1,products!$A$1:$G$1,0))</f>
        <v>13.75</v>
      </c>
      <c r="M832" s="10">
        <f t="shared" si="36"/>
        <v>27.5</v>
      </c>
      <c r="N832" t="str">
        <f t="shared" si="37"/>
        <v>Excelsa</v>
      </c>
      <c r="O832" t="str">
        <f t="shared" si="38"/>
        <v>Medium</v>
      </c>
      <c r="P832" t="str">
        <f>_xlfn.XLOOKUP(Table1[[#This Row],[Customer ID]],customers!$A$1:$A$1001,customers!$I$1:$I$1001,,0)</f>
        <v>No</v>
      </c>
    </row>
    <row r="833" spans="1:16" x14ac:dyDescent="0.25">
      <c r="A833" s="2" t="s">
        <v>5182</v>
      </c>
      <c r="B833" s="8">
        <v>44414</v>
      </c>
      <c r="C833" s="2" t="s">
        <v>5183</v>
      </c>
      <c r="D833" t="s">
        <v>6154</v>
      </c>
      <c r="E833" s="2">
        <v>2</v>
      </c>
      <c r="F833" s="2" t="str">
        <f>_xlfn.XLOOKUP(orders!C833,customers!$A$1:$A$1001,customers!$B$1:$B$1001,,0)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9">
        <f>INDEX(products!$A$1:$G$49,MATCH(orders!$D833,products!$A$1:$A$49,0),MATCH(orders!K$1,products!$A$1:$G$1,0))</f>
        <v>0.2</v>
      </c>
      <c r="L833" s="10">
        <f>INDEX(products!$A$1:$G$49,MATCH(orders!$D833,products!$A$1:$A$49,0),MATCH(orders!L$1,products!$A$1:$G$1,0))</f>
        <v>2.9849999999999999</v>
      </c>
      <c r="M833" s="10">
        <f t="shared" si="36"/>
        <v>5.97</v>
      </c>
      <c r="N833" t="str">
        <f t="shared" si="37"/>
        <v>Arabica</v>
      </c>
      <c r="O833" t="str">
        <f t="shared" si="38"/>
        <v>Dark</v>
      </c>
      <c r="P833" t="str">
        <f>_xlfn.XLOOKUP(Table1[[#This Row],[Customer ID]],customers!$A$1:$A$1001,customers!$I$1:$I$1001,,0)</f>
        <v>No</v>
      </c>
    </row>
    <row r="834" spans="1:16" x14ac:dyDescent="0.25">
      <c r="A834" s="2" t="s">
        <v>5193</v>
      </c>
      <c r="B834" s="8">
        <v>44274</v>
      </c>
      <c r="C834" s="2" t="s">
        <v>5194</v>
      </c>
      <c r="D834" t="s">
        <v>6138</v>
      </c>
      <c r="E834" s="2">
        <v>6</v>
      </c>
      <c r="F834" s="2" t="str">
        <f>_xlfn.XLOOKUP(orders!C834,customers!$A$1:$A$1001,customers!$B$1:$B$1001,,0)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9">
        <f>INDEX(products!$A$1:$G$49,MATCH(orders!$D834,products!$A$1:$A$49,0),MATCH(orders!K$1,products!$A$1:$G$1,0))</f>
        <v>1</v>
      </c>
      <c r="L834" s="10">
        <f>INDEX(products!$A$1:$G$49,MATCH(orders!$D834,products!$A$1:$A$49,0),MATCH(orders!L$1,products!$A$1:$G$1,0))</f>
        <v>9.9499999999999993</v>
      </c>
      <c r="M834" s="10">
        <f t="shared" si="36"/>
        <v>59.699999999999996</v>
      </c>
      <c r="N834" t="str">
        <f t="shared" si="37"/>
        <v>Robusta</v>
      </c>
      <c r="O834" t="str">
        <f t="shared" si="38"/>
        <v>Medium</v>
      </c>
      <c r="P834" t="str">
        <f>_xlfn.XLOOKUP(Table1[[#This Row],[Customer ID]],customers!$A$1:$A$1001,customers!$I$1:$I$1001,,0)</f>
        <v>No</v>
      </c>
    </row>
    <row r="835" spans="1:16" x14ac:dyDescent="0.25">
      <c r="A835" s="2" t="s">
        <v>5199</v>
      </c>
      <c r="B835" s="8">
        <v>44302</v>
      </c>
      <c r="C835" s="2" t="s">
        <v>5200</v>
      </c>
      <c r="D835" t="s">
        <v>6149</v>
      </c>
      <c r="E835" s="2">
        <v>4</v>
      </c>
      <c r="F835" s="2" t="str">
        <f>_xlfn.XLOOKUP(orders!C835,customers!$A$1:$A$1001,customers!$B$1:$B$1001,,0)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9">
        <f>INDEX(products!$A$1:$G$49,MATCH(orders!$D835,products!$A$1:$A$49,0),MATCH(orders!K$1,products!$A$1:$G$1,0))</f>
        <v>2.5</v>
      </c>
      <c r="L835" s="10">
        <f>INDEX(products!$A$1:$G$49,MATCH(orders!$D835,products!$A$1:$A$49,0),MATCH(orders!L$1,products!$A$1:$G$1,0))</f>
        <v>20.584999999999997</v>
      </c>
      <c r="M835" s="10">
        <f t="shared" ref="M835:M898" si="39">L835*E835</f>
        <v>82.339999999999989</v>
      </c>
      <c r="N835" t="str">
        <f t="shared" ref="N835:N898" si="40">IF(I835="Rob", "Robusta", IF(I835="Exc","Excelsa", IF(I835="Ara","Arabica", IF(I835="Lib","Liberica",""))))</f>
        <v>Robusta</v>
      </c>
      <c r="O835" t="str">
        <f t="shared" ref="O835:O898" si="41">IF(J835="M", "Medium", IF(J835="L","Light",IF(J835="D","Dark","")))</f>
        <v>Dark</v>
      </c>
      <c r="P835" t="str">
        <f>_xlfn.XLOOKUP(Table1[[#This Row],[Customer ID]],customers!$A$1:$A$1001,customers!$I$1:$I$1001,,0)</f>
        <v>Yes</v>
      </c>
    </row>
    <row r="836" spans="1:16" x14ac:dyDescent="0.25">
      <c r="A836" s="2" t="s">
        <v>5205</v>
      </c>
      <c r="B836" s="8">
        <v>44141</v>
      </c>
      <c r="C836" s="2" t="s">
        <v>5206</v>
      </c>
      <c r="D836" t="s">
        <v>6168</v>
      </c>
      <c r="E836" s="2">
        <v>1</v>
      </c>
      <c r="F836" s="2" t="str">
        <f>_xlfn.XLOOKUP(orders!C836,customers!$A$1:$A$1001,customers!$B$1:$B$1001,,0)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9">
        <f>INDEX(products!$A$1:$G$49,MATCH(orders!$D836,products!$A$1:$A$49,0),MATCH(orders!K$1,products!$A$1:$G$1,0))</f>
        <v>2.5</v>
      </c>
      <c r="L836" s="10">
        <f>INDEX(products!$A$1:$G$49,MATCH(orders!$D836,products!$A$1:$A$49,0),MATCH(orders!L$1,products!$A$1:$G$1,0))</f>
        <v>22.884999999999998</v>
      </c>
      <c r="M836" s="10">
        <f t="shared" si="39"/>
        <v>22.884999999999998</v>
      </c>
      <c r="N836" t="str">
        <f t="shared" si="40"/>
        <v>Arabica</v>
      </c>
      <c r="O836" t="str">
        <f t="shared" si="41"/>
        <v>Dark</v>
      </c>
      <c r="P836" t="str">
        <f>_xlfn.XLOOKUP(Table1[[#This Row],[Customer ID]],customers!$A$1:$A$1001,customers!$I$1:$I$1001,,0)</f>
        <v>No</v>
      </c>
    </row>
    <row r="837" spans="1:16" x14ac:dyDescent="0.25">
      <c r="A837" s="2" t="s">
        <v>5211</v>
      </c>
      <c r="B837" s="8">
        <v>44270</v>
      </c>
      <c r="C837" s="2" t="s">
        <v>5212</v>
      </c>
      <c r="D837" t="s">
        <v>6176</v>
      </c>
      <c r="E837" s="2">
        <v>1</v>
      </c>
      <c r="F837" s="2" t="str">
        <f>_xlfn.XLOOKUP(orders!C837,customers!$A$1:$A$1001,customers!$B$1:$B$1001,,0)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9">
        <f>INDEX(products!$A$1:$G$49,MATCH(orders!$D837,products!$A$1:$A$49,0),MATCH(orders!K$1,products!$A$1:$G$1,0))</f>
        <v>0.5</v>
      </c>
      <c r="L837" s="10">
        <f>INDEX(products!$A$1:$G$49,MATCH(orders!$D837,products!$A$1:$A$49,0),MATCH(orders!L$1,products!$A$1:$G$1,0))</f>
        <v>8.91</v>
      </c>
      <c r="M837" s="10">
        <f t="shared" si="39"/>
        <v>8.91</v>
      </c>
      <c r="N837" t="str">
        <f t="shared" si="40"/>
        <v>Excelsa</v>
      </c>
      <c r="O837" t="str">
        <f t="shared" si="41"/>
        <v>Light</v>
      </c>
      <c r="P837" t="str">
        <f>_xlfn.XLOOKUP(Table1[[#This Row],[Customer ID]],customers!$A$1:$A$1001,customers!$I$1:$I$1001,,0)</f>
        <v>Yes</v>
      </c>
    </row>
    <row r="838" spans="1:16" x14ac:dyDescent="0.25">
      <c r="A838" s="2" t="s">
        <v>5216</v>
      </c>
      <c r="B838" s="8">
        <v>44486</v>
      </c>
      <c r="C838" s="2" t="s">
        <v>5217</v>
      </c>
      <c r="D838" t="s">
        <v>6154</v>
      </c>
      <c r="E838" s="2">
        <v>4</v>
      </c>
      <c r="F838" s="2" t="str">
        <f>_xlfn.XLOOKUP(orders!C838,customers!$A$1:$A$1001,customers!$B$1:$B$1001,,0)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9">
        <f>INDEX(products!$A$1:$G$49,MATCH(orders!$D838,products!$A$1:$A$49,0),MATCH(orders!K$1,products!$A$1:$G$1,0))</f>
        <v>0.2</v>
      </c>
      <c r="L838" s="10">
        <f>INDEX(products!$A$1:$G$49,MATCH(orders!$D838,products!$A$1:$A$49,0),MATCH(orders!L$1,products!$A$1:$G$1,0))</f>
        <v>2.9849999999999999</v>
      </c>
      <c r="M838" s="10">
        <f t="shared" si="39"/>
        <v>11.94</v>
      </c>
      <c r="N838" t="str">
        <f t="shared" si="40"/>
        <v>Arabica</v>
      </c>
      <c r="O838" t="str">
        <f t="shared" si="41"/>
        <v>Dark</v>
      </c>
      <c r="P838" t="str">
        <f>_xlfn.XLOOKUP(Table1[[#This Row],[Customer ID]],customers!$A$1:$A$1001,customers!$I$1:$I$1001,,0)</f>
        <v>No</v>
      </c>
    </row>
    <row r="839" spans="1:16" x14ac:dyDescent="0.25">
      <c r="A839" s="2" t="s">
        <v>5222</v>
      </c>
      <c r="B839" s="8">
        <v>43715</v>
      </c>
      <c r="C839" s="2" t="s">
        <v>5113</v>
      </c>
      <c r="D839" t="s">
        <v>6181</v>
      </c>
      <c r="E839" s="2">
        <v>3</v>
      </c>
      <c r="F839" s="2" t="str">
        <f>_xlfn.XLOOKUP(orders!C839,customers!$A$1:$A$1001,customers!$B$1:$B$1001,,0)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9">
        <f>INDEX(products!$A$1:$G$49,MATCH(orders!$D839,products!$A$1:$A$49,0),MATCH(orders!K$1,products!$A$1:$G$1,0))</f>
        <v>2.5</v>
      </c>
      <c r="L839" s="10">
        <f>INDEX(products!$A$1:$G$49,MATCH(orders!$D839,products!$A$1:$A$49,0),MATCH(orders!L$1,products!$A$1:$G$1,0))</f>
        <v>33.464999999999996</v>
      </c>
      <c r="M839" s="10">
        <f t="shared" si="39"/>
        <v>100.39499999999998</v>
      </c>
      <c r="N839" t="str">
        <f t="shared" si="40"/>
        <v>Liberica</v>
      </c>
      <c r="O839" t="str">
        <f t="shared" si="41"/>
        <v>Medium</v>
      </c>
      <c r="P839" t="str">
        <f>_xlfn.XLOOKUP(Table1[[#This Row],[Customer ID]],customers!$A$1:$A$1001,customers!$I$1:$I$1001,,0)</f>
        <v>No</v>
      </c>
    </row>
    <row r="840" spans="1:16" x14ac:dyDescent="0.25">
      <c r="A840" s="2" t="s">
        <v>5228</v>
      </c>
      <c r="B840" s="8">
        <v>44755</v>
      </c>
      <c r="C840" s="2" t="s">
        <v>5229</v>
      </c>
      <c r="D840" t="s">
        <v>6168</v>
      </c>
      <c r="E840" s="2">
        <v>5</v>
      </c>
      <c r="F840" s="2" t="str">
        <f>_xlfn.XLOOKUP(orders!C840,customers!$A$1:$A$1001,customers!$B$1:$B$1001,,0)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9">
        <f>INDEX(products!$A$1:$G$49,MATCH(orders!$D840,products!$A$1:$A$49,0),MATCH(orders!K$1,products!$A$1:$G$1,0))</f>
        <v>2.5</v>
      </c>
      <c r="L840" s="10">
        <f>INDEX(products!$A$1:$G$49,MATCH(orders!$D840,products!$A$1:$A$49,0),MATCH(orders!L$1,products!$A$1:$G$1,0))</f>
        <v>22.884999999999998</v>
      </c>
      <c r="M840" s="10">
        <f t="shared" si="39"/>
        <v>114.42499999999998</v>
      </c>
      <c r="N840" t="str">
        <f t="shared" si="40"/>
        <v>Arabica</v>
      </c>
      <c r="O840" t="str">
        <f t="shared" si="41"/>
        <v>Dark</v>
      </c>
      <c r="P840" t="str">
        <f>_xlfn.XLOOKUP(Table1[[#This Row],[Customer ID]],customers!$A$1:$A$1001,customers!$I$1:$I$1001,,0)</f>
        <v>No</v>
      </c>
    </row>
    <row r="841" spans="1:16" x14ac:dyDescent="0.25">
      <c r="A841" s="2" t="s">
        <v>5234</v>
      </c>
      <c r="B841" s="8">
        <v>44521</v>
      </c>
      <c r="C841" s="2" t="s">
        <v>5235</v>
      </c>
      <c r="D841" t="s">
        <v>6139</v>
      </c>
      <c r="E841" s="2">
        <v>5</v>
      </c>
      <c r="F841" s="2" t="str">
        <f>_xlfn.XLOOKUP(orders!C841,customers!$A$1:$A$1001,customers!$B$1:$B$1001,,0)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9">
        <f>INDEX(products!$A$1:$G$49,MATCH(orders!$D841,products!$A$1:$A$49,0),MATCH(orders!K$1,products!$A$1:$G$1,0))</f>
        <v>0.5</v>
      </c>
      <c r="L841" s="10">
        <f>INDEX(products!$A$1:$G$49,MATCH(orders!$D841,products!$A$1:$A$49,0),MATCH(orders!L$1,products!$A$1:$G$1,0))</f>
        <v>8.25</v>
      </c>
      <c r="M841" s="10">
        <f t="shared" si="39"/>
        <v>41.25</v>
      </c>
      <c r="N841" t="str">
        <f t="shared" si="40"/>
        <v>Excelsa</v>
      </c>
      <c r="O841" t="str">
        <f t="shared" si="41"/>
        <v>Medium</v>
      </c>
      <c r="P841" t="str">
        <f>_xlfn.XLOOKUP(Table1[[#This Row],[Customer ID]],customers!$A$1:$A$1001,customers!$I$1:$I$1001,,0)</f>
        <v>No</v>
      </c>
    </row>
    <row r="842" spans="1:16" x14ac:dyDescent="0.25">
      <c r="A842" s="2" t="s">
        <v>5240</v>
      </c>
      <c r="B842" s="8">
        <v>44574</v>
      </c>
      <c r="C842" s="2" t="s">
        <v>5241</v>
      </c>
      <c r="D842" t="s">
        <v>6173</v>
      </c>
      <c r="E842" s="2">
        <v>4</v>
      </c>
      <c r="F842" s="2" t="str">
        <f>_xlfn.XLOOKUP(orders!C842,customers!$A$1:$A$1001,customers!$B$1:$B$1001,,0)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9">
        <f>INDEX(products!$A$1:$G$49,MATCH(orders!$D842,products!$A$1:$A$49,0),MATCH(orders!K$1,products!$A$1:$G$1,0))</f>
        <v>0.5</v>
      </c>
      <c r="L842" s="10">
        <f>INDEX(products!$A$1:$G$49,MATCH(orders!$D842,products!$A$1:$A$49,0),MATCH(orders!L$1,products!$A$1:$G$1,0))</f>
        <v>7.169999999999999</v>
      </c>
      <c r="M842" s="10">
        <f t="shared" si="39"/>
        <v>28.679999999999996</v>
      </c>
      <c r="N842" t="str">
        <f t="shared" si="40"/>
        <v>Robusta</v>
      </c>
      <c r="O842" t="str">
        <f t="shared" si="41"/>
        <v>Light</v>
      </c>
      <c r="P842" t="str">
        <f>_xlfn.XLOOKUP(Table1[[#This Row],[Customer ID]],customers!$A$1:$A$1001,customers!$I$1:$I$1001,,0)</f>
        <v>Yes</v>
      </c>
    </row>
    <row r="843" spans="1:16" x14ac:dyDescent="0.25">
      <c r="A843" s="2" t="s">
        <v>5246</v>
      </c>
      <c r="B843" s="8">
        <v>44755</v>
      </c>
      <c r="C843" s="2" t="s">
        <v>5247</v>
      </c>
      <c r="D843" t="s">
        <v>6159</v>
      </c>
      <c r="E843" s="2">
        <v>1</v>
      </c>
      <c r="F843" s="2" t="str">
        <f>_xlfn.XLOOKUP(orders!C843,customers!$A$1:$A$1001,customers!$B$1:$B$1001,,0)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9">
        <f>INDEX(products!$A$1:$G$49,MATCH(orders!$D843,products!$A$1:$A$49,0),MATCH(orders!K$1,products!$A$1:$G$1,0))</f>
        <v>0.2</v>
      </c>
      <c r="L843" s="10">
        <f>INDEX(products!$A$1:$G$49,MATCH(orders!$D843,products!$A$1:$A$49,0),MATCH(orders!L$1,products!$A$1:$G$1,0))</f>
        <v>4.3650000000000002</v>
      </c>
      <c r="M843" s="10">
        <f t="shared" si="39"/>
        <v>4.3650000000000002</v>
      </c>
      <c r="N843" t="str">
        <f t="shared" si="40"/>
        <v>Liberica</v>
      </c>
      <c r="O843" t="str">
        <f t="shared" si="41"/>
        <v>Medium</v>
      </c>
      <c r="P843" t="str">
        <f>_xlfn.XLOOKUP(Table1[[#This Row],[Customer ID]],customers!$A$1:$A$1001,customers!$I$1:$I$1001,,0)</f>
        <v>No</v>
      </c>
    </row>
    <row r="844" spans="1:16" x14ac:dyDescent="0.25">
      <c r="A844" s="2" t="s">
        <v>5251</v>
      </c>
      <c r="B844" s="8">
        <v>44502</v>
      </c>
      <c r="C844" s="2" t="s">
        <v>5188</v>
      </c>
      <c r="D844" t="s">
        <v>6156</v>
      </c>
      <c r="E844" s="2">
        <v>2</v>
      </c>
      <c r="F844" s="2" t="str">
        <f>_xlfn.XLOOKUP(orders!C844,customers!$A$1:$A$1001,customers!$B$1:$B$1001,,0)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9">
        <f>INDEX(products!$A$1:$G$49,MATCH(orders!$D844,products!$A$1:$A$49,0),MATCH(orders!K$1,products!$A$1:$G$1,0))</f>
        <v>0.2</v>
      </c>
      <c r="L844" s="10">
        <f>INDEX(products!$A$1:$G$49,MATCH(orders!$D844,products!$A$1:$A$49,0),MATCH(orders!L$1,products!$A$1:$G$1,0))</f>
        <v>4.125</v>
      </c>
      <c r="M844" s="10">
        <f t="shared" si="39"/>
        <v>8.25</v>
      </c>
      <c r="N844" t="str">
        <f t="shared" si="40"/>
        <v>Excelsa</v>
      </c>
      <c r="O844" t="str">
        <f t="shared" si="41"/>
        <v>Medium</v>
      </c>
      <c r="P844" t="str">
        <f>_xlfn.XLOOKUP(Table1[[#This Row],[Customer ID]],customers!$A$1:$A$1001,customers!$I$1:$I$1001,,0)</f>
        <v>Yes</v>
      </c>
    </row>
    <row r="845" spans="1:16" x14ac:dyDescent="0.25">
      <c r="A845" s="2" t="s">
        <v>5256</v>
      </c>
      <c r="B845" s="8">
        <v>44387</v>
      </c>
      <c r="C845" s="2" t="s">
        <v>5257</v>
      </c>
      <c r="D845" t="s">
        <v>6156</v>
      </c>
      <c r="E845" s="2">
        <v>2</v>
      </c>
      <c r="F845" s="2" t="str">
        <f>_xlfn.XLOOKUP(orders!C845,customers!$A$1:$A$1001,customers!$B$1:$B$1001,,0)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9">
        <f>INDEX(products!$A$1:$G$49,MATCH(orders!$D845,products!$A$1:$A$49,0),MATCH(orders!K$1,products!$A$1:$G$1,0))</f>
        <v>0.2</v>
      </c>
      <c r="L845" s="10">
        <f>INDEX(products!$A$1:$G$49,MATCH(orders!$D845,products!$A$1:$A$49,0),MATCH(orders!L$1,products!$A$1:$G$1,0))</f>
        <v>4.125</v>
      </c>
      <c r="M845" s="10">
        <f t="shared" si="39"/>
        <v>8.25</v>
      </c>
      <c r="N845" t="str">
        <f t="shared" si="40"/>
        <v>Excelsa</v>
      </c>
      <c r="O845" t="str">
        <f t="shared" si="41"/>
        <v>Medium</v>
      </c>
      <c r="P845" t="str">
        <f>_xlfn.XLOOKUP(Table1[[#This Row],[Customer ID]],customers!$A$1:$A$1001,customers!$I$1:$I$1001,,0)</f>
        <v>Yes</v>
      </c>
    </row>
    <row r="846" spans="1:16" x14ac:dyDescent="0.25">
      <c r="A846" s="2" t="s">
        <v>5262</v>
      </c>
      <c r="B846" s="8">
        <v>44476</v>
      </c>
      <c r="C846" s="2" t="s">
        <v>5263</v>
      </c>
      <c r="D846" t="s">
        <v>6158</v>
      </c>
      <c r="E846" s="2">
        <v>6</v>
      </c>
      <c r="F846" s="2" t="str">
        <f>_xlfn.XLOOKUP(orders!C846,customers!$A$1:$A$1001,customers!$B$1:$B$1001,,0)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9">
        <f>INDEX(products!$A$1:$G$49,MATCH(orders!$D846,products!$A$1:$A$49,0),MATCH(orders!K$1,products!$A$1:$G$1,0))</f>
        <v>0.5</v>
      </c>
      <c r="L846" s="10">
        <f>INDEX(products!$A$1:$G$49,MATCH(orders!$D846,products!$A$1:$A$49,0),MATCH(orders!L$1,products!$A$1:$G$1,0))</f>
        <v>5.97</v>
      </c>
      <c r="M846" s="10">
        <f t="shared" si="39"/>
        <v>35.82</v>
      </c>
      <c r="N846" t="str">
        <f t="shared" si="40"/>
        <v>Arabica</v>
      </c>
      <c r="O846" t="str">
        <f t="shared" si="41"/>
        <v>Dark</v>
      </c>
      <c r="P846" t="str">
        <f>_xlfn.XLOOKUP(Table1[[#This Row],[Customer ID]],customers!$A$1:$A$1001,customers!$I$1:$I$1001,,0)</f>
        <v>Yes</v>
      </c>
    </row>
    <row r="847" spans="1:16" x14ac:dyDescent="0.25">
      <c r="A847" s="2" t="s">
        <v>5268</v>
      </c>
      <c r="B847" s="8">
        <v>43889</v>
      </c>
      <c r="C847" s="2" t="s">
        <v>5269</v>
      </c>
      <c r="D847" t="s">
        <v>6185</v>
      </c>
      <c r="E847" s="2">
        <v>6</v>
      </c>
      <c r="F847" s="2" t="str">
        <f>_xlfn.XLOOKUP(orders!C847,customers!$A$1:$A$1001,customers!$B$1:$B$1001,,0)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9">
        <f>INDEX(products!$A$1:$G$49,MATCH(orders!$D847,products!$A$1:$A$49,0),MATCH(orders!K$1,products!$A$1:$G$1,0))</f>
        <v>2.5</v>
      </c>
      <c r="L847" s="10">
        <f>INDEX(products!$A$1:$G$49,MATCH(orders!$D847,products!$A$1:$A$49,0),MATCH(orders!L$1,products!$A$1:$G$1,0))</f>
        <v>27.945</v>
      </c>
      <c r="M847" s="10">
        <f t="shared" si="39"/>
        <v>167.67000000000002</v>
      </c>
      <c r="N847" t="str">
        <f t="shared" si="40"/>
        <v>Excelsa</v>
      </c>
      <c r="O847" t="str">
        <f t="shared" si="41"/>
        <v>Dark</v>
      </c>
      <c r="P847" t="str">
        <f>_xlfn.XLOOKUP(Table1[[#This Row],[Customer ID]],customers!$A$1:$A$1001,customers!$I$1:$I$1001,,0)</f>
        <v>No</v>
      </c>
    </row>
    <row r="848" spans="1:16" x14ac:dyDescent="0.25">
      <c r="A848" s="2" t="s">
        <v>5273</v>
      </c>
      <c r="B848" s="8">
        <v>44747</v>
      </c>
      <c r="C848" s="2" t="s">
        <v>5274</v>
      </c>
      <c r="D848" t="s">
        <v>6175</v>
      </c>
      <c r="E848" s="2">
        <v>2</v>
      </c>
      <c r="F848" s="2" t="str">
        <f>_xlfn.XLOOKUP(orders!C848,customers!$A$1:$A$1001,customers!$B$1:$B$1001,,0)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9">
        <f>INDEX(products!$A$1:$G$49,MATCH(orders!$D848,products!$A$1:$A$49,0),MATCH(orders!K$1,products!$A$1:$G$1,0))</f>
        <v>2.5</v>
      </c>
      <c r="L848" s="10">
        <f>INDEX(products!$A$1:$G$49,MATCH(orders!$D848,products!$A$1:$A$49,0),MATCH(orders!L$1,products!$A$1:$G$1,0))</f>
        <v>25.874999999999996</v>
      </c>
      <c r="M848" s="10">
        <f t="shared" si="39"/>
        <v>51.749999999999993</v>
      </c>
      <c r="N848" t="str">
        <f t="shared" si="40"/>
        <v>Arabica</v>
      </c>
      <c r="O848" t="str">
        <f t="shared" si="41"/>
        <v>Medium</v>
      </c>
      <c r="P848" t="str">
        <f>_xlfn.XLOOKUP(Table1[[#This Row],[Customer ID]],customers!$A$1:$A$1001,customers!$I$1:$I$1001,,0)</f>
        <v>Yes</v>
      </c>
    </row>
    <row r="849" spans="1:16" x14ac:dyDescent="0.25">
      <c r="A849" s="2" t="s">
        <v>5278</v>
      </c>
      <c r="B849" s="8">
        <v>44460</v>
      </c>
      <c r="C849" s="2" t="s">
        <v>5279</v>
      </c>
      <c r="D849" t="s">
        <v>6154</v>
      </c>
      <c r="E849" s="2">
        <v>3</v>
      </c>
      <c r="F849" s="2" t="str">
        <f>_xlfn.XLOOKUP(orders!C849,customers!$A$1:$A$1001,customers!$B$1:$B$1001,,0)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9">
        <f>INDEX(products!$A$1:$G$49,MATCH(orders!$D849,products!$A$1:$A$49,0),MATCH(orders!K$1,products!$A$1:$G$1,0))</f>
        <v>0.2</v>
      </c>
      <c r="L849" s="10">
        <f>INDEX(products!$A$1:$G$49,MATCH(orders!$D849,products!$A$1:$A$49,0),MATCH(orders!L$1,products!$A$1:$G$1,0))</f>
        <v>2.9849999999999999</v>
      </c>
      <c r="M849" s="10">
        <f t="shared" si="39"/>
        <v>8.9550000000000001</v>
      </c>
      <c r="N849" t="str">
        <f t="shared" si="40"/>
        <v>Arabica</v>
      </c>
      <c r="O849" t="str">
        <f t="shared" si="41"/>
        <v>Dark</v>
      </c>
      <c r="P849" t="str">
        <f>_xlfn.XLOOKUP(Table1[[#This Row],[Customer ID]],customers!$A$1:$A$1001,customers!$I$1:$I$1001,,0)</f>
        <v>Yes</v>
      </c>
    </row>
    <row r="850" spans="1:16" x14ac:dyDescent="0.25">
      <c r="A850" s="2" t="s">
        <v>5283</v>
      </c>
      <c r="B850" s="8">
        <v>43468</v>
      </c>
      <c r="C850" s="2" t="s">
        <v>5284</v>
      </c>
      <c r="D850" t="s">
        <v>6176</v>
      </c>
      <c r="E850" s="2">
        <v>6</v>
      </c>
      <c r="F850" s="2" t="str">
        <f>_xlfn.XLOOKUP(orders!C850,customers!$A$1:$A$1001,customers!$B$1:$B$1001,,0)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9">
        <f>INDEX(products!$A$1:$G$49,MATCH(orders!$D850,products!$A$1:$A$49,0),MATCH(orders!K$1,products!$A$1:$G$1,0))</f>
        <v>0.5</v>
      </c>
      <c r="L850" s="10">
        <f>INDEX(products!$A$1:$G$49,MATCH(orders!$D850,products!$A$1:$A$49,0),MATCH(orders!L$1,products!$A$1:$G$1,0))</f>
        <v>8.91</v>
      </c>
      <c r="M850" s="10">
        <f t="shared" si="39"/>
        <v>53.46</v>
      </c>
      <c r="N850" t="str">
        <f t="shared" si="40"/>
        <v>Excelsa</v>
      </c>
      <c r="O850" t="str">
        <f t="shared" si="41"/>
        <v>Light</v>
      </c>
      <c r="P850" t="str">
        <f>_xlfn.XLOOKUP(Table1[[#This Row],[Customer ID]],customers!$A$1:$A$1001,customers!$I$1:$I$1001,,0)</f>
        <v>No</v>
      </c>
    </row>
    <row r="851" spans="1:16" x14ac:dyDescent="0.25">
      <c r="A851" s="2" t="s">
        <v>5288</v>
      </c>
      <c r="B851" s="8">
        <v>44628</v>
      </c>
      <c r="C851" s="2" t="s">
        <v>5289</v>
      </c>
      <c r="D851" t="s">
        <v>6167</v>
      </c>
      <c r="E851" s="2">
        <v>6</v>
      </c>
      <c r="F851" s="2" t="str">
        <f>_xlfn.XLOOKUP(orders!C851,customers!$A$1:$A$1001,customers!$B$1:$B$1001,,0)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9">
        <f>INDEX(products!$A$1:$G$49,MATCH(orders!$D851,products!$A$1:$A$49,0),MATCH(orders!K$1,products!$A$1:$G$1,0))</f>
        <v>0.2</v>
      </c>
      <c r="L851" s="10">
        <f>INDEX(products!$A$1:$G$49,MATCH(orders!$D851,products!$A$1:$A$49,0),MATCH(orders!L$1,products!$A$1:$G$1,0))</f>
        <v>3.8849999999999998</v>
      </c>
      <c r="M851" s="10">
        <f t="shared" si="39"/>
        <v>23.31</v>
      </c>
      <c r="N851" t="str">
        <f t="shared" si="40"/>
        <v>Arabica</v>
      </c>
      <c r="O851" t="str">
        <f t="shared" si="41"/>
        <v>Light</v>
      </c>
      <c r="P851" t="str">
        <f>_xlfn.XLOOKUP(Table1[[#This Row],[Customer ID]],customers!$A$1:$A$1001,customers!$I$1:$I$1001,,0)</f>
        <v>Yes</v>
      </c>
    </row>
    <row r="852" spans="1:16" x14ac:dyDescent="0.25">
      <c r="A852" s="2" t="s">
        <v>5288</v>
      </c>
      <c r="B852" s="8">
        <v>44628</v>
      </c>
      <c r="C852" s="2" t="s">
        <v>5289</v>
      </c>
      <c r="D852" t="s">
        <v>6152</v>
      </c>
      <c r="E852" s="2">
        <v>2</v>
      </c>
      <c r="F852" s="2" t="str">
        <f>_xlfn.XLOOKUP(orders!C852,customers!$A$1:$A$1001,customers!$B$1:$B$1001,,0)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9">
        <f>INDEX(products!$A$1:$G$49,MATCH(orders!$D852,products!$A$1:$A$49,0),MATCH(orders!K$1,products!$A$1:$G$1,0))</f>
        <v>0.2</v>
      </c>
      <c r="L852" s="10">
        <f>INDEX(products!$A$1:$G$49,MATCH(orders!$D852,products!$A$1:$A$49,0),MATCH(orders!L$1,products!$A$1:$G$1,0))</f>
        <v>3.375</v>
      </c>
      <c r="M852" s="10">
        <f t="shared" si="39"/>
        <v>6.75</v>
      </c>
      <c r="N852" t="str">
        <f t="shared" si="40"/>
        <v>Arabica</v>
      </c>
      <c r="O852" t="str">
        <f t="shared" si="41"/>
        <v>Medium</v>
      </c>
      <c r="P852" t="str">
        <f>_xlfn.XLOOKUP(Table1[[#This Row],[Customer ID]],customers!$A$1:$A$1001,customers!$I$1:$I$1001,,0)</f>
        <v>Yes</v>
      </c>
    </row>
    <row r="853" spans="1:16" x14ac:dyDescent="0.25">
      <c r="A853" s="2" t="s">
        <v>5299</v>
      </c>
      <c r="B853" s="8">
        <v>43900</v>
      </c>
      <c r="C853" s="2" t="s">
        <v>5300</v>
      </c>
      <c r="D853" t="s">
        <v>6169</v>
      </c>
      <c r="E853" s="2">
        <v>1</v>
      </c>
      <c r="F853" s="2" t="str">
        <f>_xlfn.XLOOKUP(orders!C853,customers!$A$1:$A$1001,customers!$B$1:$B$1001,,0)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9">
        <f>INDEX(products!$A$1:$G$49,MATCH(orders!$D853,products!$A$1:$A$49,0),MATCH(orders!K$1,products!$A$1:$G$1,0))</f>
        <v>0.5</v>
      </c>
      <c r="L853" s="10">
        <f>INDEX(products!$A$1:$G$49,MATCH(orders!$D853,products!$A$1:$A$49,0),MATCH(orders!L$1,products!$A$1:$G$1,0))</f>
        <v>7.77</v>
      </c>
      <c r="M853" s="10">
        <f t="shared" si="39"/>
        <v>7.77</v>
      </c>
      <c r="N853" t="str">
        <f t="shared" si="40"/>
        <v>Liberica</v>
      </c>
      <c r="O853" t="str">
        <f t="shared" si="41"/>
        <v>Dark</v>
      </c>
      <c r="P853" t="str">
        <f>_xlfn.XLOOKUP(Table1[[#This Row],[Customer ID]],customers!$A$1:$A$1001,customers!$I$1:$I$1001,,0)</f>
        <v>Yes</v>
      </c>
    </row>
    <row r="854" spans="1:16" x14ac:dyDescent="0.25">
      <c r="A854" s="2" t="s">
        <v>5305</v>
      </c>
      <c r="B854" s="8">
        <v>44527</v>
      </c>
      <c r="C854" s="2" t="s">
        <v>5306</v>
      </c>
      <c r="D854" t="s">
        <v>6165</v>
      </c>
      <c r="E854" s="2">
        <v>4</v>
      </c>
      <c r="F854" s="2" t="str">
        <f>_xlfn.XLOOKUP(orders!C854,customers!$A$1:$A$1001,customers!$B$1:$B$1001,,0)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9">
        <f>INDEX(products!$A$1:$G$49,MATCH(orders!$D854,products!$A$1:$A$49,0),MATCH(orders!K$1,products!$A$1:$G$1,0))</f>
        <v>2.5</v>
      </c>
      <c r="L854" s="10">
        <f>INDEX(products!$A$1:$G$49,MATCH(orders!$D854,products!$A$1:$A$49,0),MATCH(orders!L$1,products!$A$1:$G$1,0))</f>
        <v>29.784999999999997</v>
      </c>
      <c r="M854" s="10">
        <f t="shared" si="39"/>
        <v>119.13999999999999</v>
      </c>
      <c r="N854" t="str">
        <f t="shared" si="40"/>
        <v>Liberica</v>
      </c>
      <c r="O854" t="str">
        <f t="shared" si="41"/>
        <v>Dark</v>
      </c>
      <c r="P854" t="str">
        <f>_xlfn.XLOOKUP(Table1[[#This Row],[Customer ID]],customers!$A$1:$A$1001,customers!$I$1:$I$1001,,0)</f>
        <v>Yes</v>
      </c>
    </row>
    <row r="855" spans="1:16" x14ac:dyDescent="0.25">
      <c r="A855" s="2" t="s">
        <v>5310</v>
      </c>
      <c r="B855" s="8">
        <v>44259</v>
      </c>
      <c r="C855" s="2" t="s">
        <v>5311</v>
      </c>
      <c r="D855" t="s">
        <v>6147</v>
      </c>
      <c r="E855" s="2">
        <v>2</v>
      </c>
      <c r="F855" s="2" t="str">
        <f>_xlfn.XLOOKUP(orders!C855,customers!$A$1:$A$1001,customers!$B$1:$B$1001,,0)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9">
        <f>INDEX(products!$A$1:$G$49,MATCH(orders!$D855,products!$A$1:$A$49,0),MATCH(orders!K$1,products!$A$1:$G$1,0))</f>
        <v>1</v>
      </c>
      <c r="L855" s="10">
        <f>INDEX(products!$A$1:$G$49,MATCH(orders!$D855,products!$A$1:$A$49,0),MATCH(orders!L$1,products!$A$1:$G$1,0))</f>
        <v>9.9499999999999993</v>
      </c>
      <c r="M855" s="10">
        <f t="shared" si="39"/>
        <v>19.899999999999999</v>
      </c>
      <c r="N855" t="str">
        <f t="shared" si="40"/>
        <v>Arabica</v>
      </c>
      <c r="O855" t="str">
        <f t="shared" si="41"/>
        <v>Dark</v>
      </c>
      <c r="P855" t="str">
        <f>_xlfn.XLOOKUP(Table1[[#This Row],[Customer ID]],customers!$A$1:$A$1001,customers!$I$1:$I$1001,,0)</f>
        <v>No</v>
      </c>
    </row>
    <row r="856" spans="1:16" x14ac:dyDescent="0.25">
      <c r="A856" s="2" t="s">
        <v>5315</v>
      </c>
      <c r="B856" s="8">
        <v>44516</v>
      </c>
      <c r="C856" s="2" t="s">
        <v>5316</v>
      </c>
      <c r="D856" t="s">
        <v>6173</v>
      </c>
      <c r="E856" s="2">
        <v>5</v>
      </c>
      <c r="F856" s="2" t="str">
        <f>_xlfn.XLOOKUP(orders!C856,customers!$A$1:$A$1001,customers!$B$1:$B$1001,,0)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9">
        <f>INDEX(products!$A$1:$G$49,MATCH(orders!$D856,products!$A$1:$A$49,0),MATCH(orders!K$1,products!$A$1:$G$1,0))</f>
        <v>0.5</v>
      </c>
      <c r="L856" s="10">
        <f>INDEX(products!$A$1:$G$49,MATCH(orders!$D856,products!$A$1:$A$49,0),MATCH(orders!L$1,products!$A$1:$G$1,0))</f>
        <v>7.169999999999999</v>
      </c>
      <c r="M856" s="10">
        <f t="shared" si="39"/>
        <v>35.849999999999994</v>
      </c>
      <c r="N856" t="str">
        <f t="shared" si="40"/>
        <v>Robusta</v>
      </c>
      <c r="O856" t="str">
        <f t="shared" si="41"/>
        <v>Light</v>
      </c>
      <c r="P856" t="str">
        <f>_xlfn.XLOOKUP(Table1[[#This Row],[Customer ID]],customers!$A$1:$A$1001,customers!$I$1:$I$1001,,0)</f>
        <v>Yes</v>
      </c>
    </row>
    <row r="857" spans="1:16" x14ac:dyDescent="0.25">
      <c r="A857" s="2" t="s">
        <v>5321</v>
      </c>
      <c r="B857" s="8">
        <v>43632</v>
      </c>
      <c r="C857" s="2" t="s">
        <v>5322</v>
      </c>
      <c r="D857" t="s">
        <v>6165</v>
      </c>
      <c r="E857" s="2">
        <v>3</v>
      </c>
      <c r="F857" s="2" t="str">
        <f>_xlfn.XLOOKUP(orders!C857,customers!$A$1:$A$1001,customers!$B$1:$B$1001,,0)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9">
        <f>INDEX(products!$A$1:$G$49,MATCH(orders!$D857,products!$A$1:$A$49,0),MATCH(orders!K$1,products!$A$1:$G$1,0))</f>
        <v>2.5</v>
      </c>
      <c r="L857" s="10">
        <f>INDEX(products!$A$1:$G$49,MATCH(orders!$D857,products!$A$1:$A$49,0),MATCH(orders!L$1,products!$A$1:$G$1,0))</f>
        <v>29.784999999999997</v>
      </c>
      <c r="M857" s="10">
        <f t="shared" si="39"/>
        <v>89.35499999999999</v>
      </c>
      <c r="N857" t="str">
        <f t="shared" si="40"/>
        <v>Liberica</v>
      </c>
      <c r="O857" t="str">
        <f t="shared" si="41"/>
        <v>Dark</v>
      </c>
      <c r="P857" t="str">
        <f>_xlfn.XLOOKUP(Table1[[#This Row],[Customer ID]],customers!$A$1:$A$1001,customers!$I$1:$I$1001,,0)</f>
        <v>No</v>
      </c>
    </row>
    <row r="858" spans="1:16" x14ac:dyDescent="0.25">
      <c r="A858" s="2" t="s">
        <v>5327</v>
      </c>
      <c r="B858" s="8">
        <v>44031</v>
      </c>
      <c r="C858" s="2" t="s">
        <v>5188</v>
      </c>
      <c r="D858" t="s">
        <v>6159</v>
      </c>
      <c r="E858" s="2">
        <v>2</v>
      </c>
      <c r="F858" s="2" t="str">
        <f>_xlfn.XLOOKUP(orders!C858,customers!$A$1:$A$1001,customers!$B$1:$B$1001,,0)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9">
        <f>INDEX(products!$A$1:$G$49,MATCH(orders!$D858,products!$A$1:$A$49,0),MATCH(orders!K$1,products!$A$1:$G$1,0))</f>
        <v>0.2</v>
      </c>
      <c r="L858" s="10">
        <f>INDEX(products!$A$1:$G$49,MATCH(orders!$D858,products!$A$1:$A$49,0),MATCH(orders!L$1,products!$A$1:$G$1,0))</f>
        <v>4.3650000000000002</v>
      </c>
      <c r="M858" s="10">
        <f t="shared" si="39"/>
        <v>8.73</v>
      </c>
      <c r="N858" t="str">
        <f t="shared" si="40"/>
        <v>Liberica</v>
      </c>
      <c r="O858" t="str">
        <f t="shared" si="41"/>
        <v>Medium</v>
      </c>
      <c r="P858" t="str">
        <f>_xlfn.XLOOKUP(Table1[[#This Row],[Customer ID]],customers!$A$1:$A$1001,customers!$I$1:$I$1001,,0)</f>
        <v>Yes</v>
      </c>
    </row>
    <row r="859" spans="1:16" x14ac:dyDescent="0.25">
      <c r="A859" s="2" t="s">
        <v>5333</v>
      </c>
      <c r="B859" s="8">
        <v>43889</v>
      </c>
      <c r="C859" s="2" t="s">
        <v>5334</v>
      </c>
      <c r="D859" t="s">
        <v>6142</v>
      </c>
      <c r="E859" s="2">
        <v>5</v>
      </c>
      <c r="F859" s="2" t="str">
        <f>_xlfn.XLOOKUP(orders!C859,customers!$A$1:$A$1001,customers!$B$1:$B$1001,,0)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9">
        <f>INDEX(products!$A$1:$G$49,MATCH(orders!$D859,products!$A$1:$A$49,0),MATCH(orders!K$1,products!$A$1:$G$1,0))</f>
        <v>2.5</v>
      </c>
      <c r="L859" s="10">
        <f>INDEX(products!$A$1:$G$49,MATCH(orders!$D859,products!$A$1:$A$49,0),MATCH(orders!L$1,products!$A$1:$G$1,0))</f>
        <v>27.484999999999996</v>
      </c>
      <c r="M859" s="10">
        <f t="shared" si="39"/>
        <v>137.42499999999998</v>
      </c>
      <c r="N859" t="str">
        <f t="shared" si="40"/>
        <v>Robusta</v>
      </c>
      <c r="O859" t="str">
        <f t="shared" si="41"/>
        <v>Light</v>
      </c>
      <c r="P859" t="str">
        <f>_xlfn.XLOOKUP(Table1[[#This Row],[Customer ID]],customers!$A$1:$A$1001,customers!$I$1:$I$1001,,0)</f>
        <v>No</v>
      </c>
    </row>
    <row r="860" spans="1:16" x14ac:dyDescent="0.25">
      <c r="A860" s="2" t="s">
        <v>5339</v>
      </c>
      <c r="B860" s="8">
        <v>43638</v>
      </c>
      <c r="C860" s="2" t="s">
        <v>5340</v>
      </c>
      <c r="D860" t="s">
        <v>6160</v>
      </c>
      <c r="E860" s="2">
        <v>4</v>
      </c>
      <c r="F860" s="2" t="str">
        <f>_xlfn.XLOOKUP(orders!C860,customers!$A$1:$A$1001,customers!$B$1:$B$1001,,0)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9">
        <f>INDEX(products!$A$1:$G$49,MATCH(orders!$D860,products!$A$1:$A$49,0),MATCH(orders!K$1,products!$A$1:$G$1,0))</f>
        <v>0.5</v>
      </c>
      <c r="L860" s="10">
        <f>INDEX(products!$A$1:$G$49,MATCH(orders!$D860,products!$A$1:$A$49,0),MATCH(orders!L$1,products!$A$1:$G$1,0))</f>
        <v>8.73</v>
      </c>
      <c r="M860" s="10">
        <f t="shared" si="39"/>
        <v>34.92</v>
      </c>
      <c r="N860" t="str">
        <f t="shared" si="40"/>
        <v>Liberica</v>
      </c>
      <c r="O860" t="str">
        <f t="shared" si="41"/>
        <v>Medium</v>
      </c>
      <c r="P860" t="str">
        <f>_xlfn.XLOOKUP(Table1[[#This Row],[Customer ID]],customers!$A$1:$A$1001,customers!$I$1:$I$1001,,0)</f>
        <v>No</v>
      </c>
    </row>
    <row r="861" spans="1:16" x14ac:dyDescent="0.25">
      <c r="A861" s="2" t="s">
        <v>5345</v>
      </c>
      <c r="B861" s="8">
        <v>43716</v>
      </c>
      <c r="C861" s="2" t="s">
        <v>5346</v>
      </c>
      <c r="D861" t="s">
        <v>6182</v>
      </c>
      <c r="E861" s="2">
        <v>6</v>
      </c>
      <c r="F861" s="2" t="str">
        <f>_xlfn.XLOOKUP(orders!C861,customers!$A$1:$A$1001,customers!$B$1:$B$1001,,0)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9">
        <f>INDEX(products!$A$1:$G$49,MATCH(orders!$D861,products!$A$1:$A$49,0),MATCH(orders!K$1,products!$A$1:$G$1,0))</f>
        <v>2.5</v>
      </c>
      <c r="L861" s="10">
        <f>INDEX(products!$A$1:$G$49,MATCH(orders!$D861,products!$A$1:$A$49,0),MATCH(orders!L$1,products!$A$1:$G$1,0))</f>
        <v>29.784999999999997</v>
      </c>
      <c r="M861" s="10">
        <f t="shared" si="39"/>
        <v>178.70999999999998</v>
      </c>
      <c r="N861" t="str">
        <f t="shared" si="40"/>
        <v>Arabica</v>
      </c>
      <c r="O861" t="str">
        <f t="shared" si="41"/>
        <v>Light</v>
      </c>
      <c r="P861" t="str">
        <f>_xlfn.XLOOKUP(Table1[[#This Row],[Customer ID]],customers!$A$1:$A$1001,customers!$I$1:$I$1001,,0)</f>
        <v>No</v>
      </c>
    </row>
    <row r="862" spans="1:16" x14ac:dyDescent="0.25">
      <c r="A862" s="2" t="s">
        <v>5351</v>
      </c>
      <c r="B862" s="8">
        <v>44707</v>
      </c>
      <c r="C862" s="2" t="s">
        <v>5352</v>
      </c>
      <c r="D862" t="s">
        <v>6175</v>
      </c>
      <c r="E862" s="2">
        <v>1</v>
      </c>
      <c r="F862" s="2" t="str">
        <f>_xlfn.XLOOKUP(orders!C862,customers!$A$1:$A$1001,customers!$B$1:$B$1001,,0)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9">
        <f>INDEX(products!$A$1:$G$49,MATCH(orders!$D862,products!$A$1:$A$49,0),MATCH(orders!K$1,products!$A$1:$G$1,0))</f>
        <v>2.5</v>
      </c>
      <c r="L862" s="10">
        <f>INDEX(products!$A$1:$G$49,MATCH(orders!$D862,products!$A$1:$A$49,0),MATCH(orders!L$1,products!$A$1:$G$1,0))</f>
        <v>25.874999999999996</v>
      </c>
      <c r="M862" s="10">
        <f t="shared" si="39"/>
        <v>25.874999999999996</v>
      </c>
      <c r="N862" t="str">
        <f t="shared" si="40"/>
        <v>Arabica</v>
      </c>
      <c r="O862" t="str">
        <f t="shared" si="41"/>
        <v>Medium</v>
      </c>
      <c r="P862" t="str">
        <f>_xlfn.XLOOKUP(Table1[[#This Row],[Customer ID]],customers!$A$1:$A$1001,customers!$I$1:$I$1001,,0)</f>
        <v>No</v>
      </c>
    </row>
    <row r="863" spans="1:16" x14ac:dyDescent="0.25">
      <c r="A863" s="2" t="s">
        <v>5356</v>
      </c>
      <c r="B863" s="8">
        <v>43802</v>
      </c>
      <c r="C863" s="2" t="s">
        <v>5357</v>
      </c>
      <c r="D863" t="s">
        <v>6143</v>
      </c>
      <c r="E863" s="2">
        <v>6</v>
      </c>
      <c r="F863" s="2" t="str">
        <f>_xlfn.XLOOKUP(orders!C863,customers!$A$1:$A$1001,customers!$B$1:$B$1001,,0)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9">
        <f>INDEX(products!$A$1:$G$49,MATCH(orders!$D863,products!$A$1:$A$49,0),MATCH(orders!K$1,products!$A$1:$G$1,0))</f>
        <v>1</v>
      </c>
      <c r="L863" s="10">
        <f>INDEX(products!$A$1:$G$49,MATCH(orders!$D863,products!$A$1:$A$49,0),MATCH(orders!L$1,products!$A$1:$G$1,0))</f>
        <v>12.95</v>
      </c>
      <c r="M863" s="10">
        <f t="shared" si="39"/>
        <v>77.699999999999989</v>
      </c>
      <c r="N863" t="str">
        <f t="shared" si="40"/>
        <v>Liberica</v>
      </c>
      <c r="O863" t="str">
        <f t="shared" si="41"/>
        <v>Dark</v>
      </c>
      <c r="P863" t="str">
        <f>_xlfn.XLOOKUP(Table1[[#This Row],[Customer ID]],customers!$A$1:$A$1001,customers!$I$1:$I$1001,,0)</f>
        <v>Yes</v>
      </c>
    </row>
    <row r="864" spans="1:16" x14ac:dyDescent="0.25">
      <c r="A864" s="2" t="s">
        <v>5362</v>
      </c>
      <c r="B864" s="8">
        <v>43725</v>
      </c>
      <c r="C864" s="2" t="s">
        <v>5363</v>
      </c>
      <c r="D864" t="s">
        <v>6138</v>
      </c>
      <c r="E864" s="2">
        <v>1</v>
      </c>
      <c r="F864" s="2" t="str">
        <f>_xlfn.XLOOKUP(orders!C864,customers!$A$1:$A$1001,customers!$B$1:$B$1001,,0)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9">
        <f>INDEX(products!$A$1:$G$49,MATCH(orders!$D864,products!$A$1:$A$49,0),MATCH(orders!K$1,products!$A$1:$G$1,0))</f>
        <v>1</v>
      </c>
      <c r="L864" s="10">
        <f>INDEX(products!$A$1:$G$49,MATCH(orders!$D864,products!$A$1:$A$49,0),MATCH(orders!L$1,products!$A$1:$G$1,0))</f>
        <v>9.9499999999999993</v>
      </c>
      <c r="M864" s="10">
        <f t="shared" si="39"/>
        <v>9.9499999999999993</v>
      </c>
      <c r="N864" t="str">
        <f t="shared" si="40"/>
        <v>Robusta</v>
      </c>
      <c r="O864" t="str">
        <f t="shared" si="41"/>
        <v>Medium</v>
      </c>
      <c r="P864" t="str">
        <f>_xlfn.XLOOKUP(Table1[[#This Row],[Customer ID]],customers!$A$1:$A$1001,customers!$I$1:$I$1001,,0)</f>
        <v>Yes</v>
      </c>
    </row>
    <row r="865" spans="1:16" x14ac:dyDescent="0.25">
      <c r="A865" s="2" t="s">
        <v>5368</v>
      </c>
      <c r="B865" s="8">
        <v>44712</v>
      </c>
      <c r="C865" s="2" t="s">
        <v>5369</v>
      </c>
      <c r="D865" t="s">
        <v>6162</v>
      </c>
      <c r="E865" s="2">
        <v>2</v>
      </c>
      <c r="F865" s="2" t="str">
        <f>_xlfn.XLOOKUP(orders!C865,customers!$A$1:$A$1001,customers!$B$1:$B$1001,,0)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9">
        <f>INDEX(products!$A$1:$G$49,MATCH(orders!$D865,products!$A$1:$A$49,0),MATCH(orders!K$1,products!$A$1:$G$1,0))</f>
        <v>1</v>
      </c>
      <c r="L865" s="10">
        <f>INDEX(products!$A$1:$G$49,MATCH(orders!$D865,products!$A$1:$A$49,0),MATCH(orders!L$1,products!$A$1:$G$1,0))</f>
        <v>14.55</v>
      </c>
      <c r="M865" s="10">
        <f t="shared" si="39"/>
        <v>29.1</v>
      </c>
      <c r="N865" t="str">
        <f t="shared" si="40"/>
        <v>Liberica</v>
      </c>
      <c r="O865" t="str">
        <f t="shared" si="41"/>
        <v>Medium</v>
      </c>
      <c r="P865" t="str">
        <f>_xlfn.XLOOKUP(Table1[[#This Row],[Customer ID]],customers!$A$1:$A$1001,customers!$I$1:$I$1001,,0)</f>
        <v>Yes</v>
      </c>
    </row>
    <row r="866" spans="1:16" x14ac:dyDescent="0.25">
      <c r="A866" s="2" t="s">
        <v>5374</v>
      </c>
      <c r="B866" s="8">
        <v>43759</v>
      </c>
      <c r="C866" s="2" t="s">
        <v>5375</v>
      </c>
      <c r="D866" t="s">
        <v>6178</v>
      </c>
      <c r="E866" s="2">
        <v>6</v>
      </c>
      <c r="F866" s="2" t="str">
        <f>_xlfn.XLOOKUP(orders!C866,customers!$A$1:$A$1001,customers!$B$1:$B$1001,,0)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9">
        <f>INDEX(products!$A$1:$G$49,MATCH(orders!$D866,products!$A$1:$A$49,0),MATCH(orders!K$1,products!$A$1:$G$1,0))</f>
        <v>0.2</v>
      </c>
      <c r="L866" s="10">
        <f>INDEX(products!$A$1:$G$49,MATCH(orders!$D866,products!$A$1:$A$49,0),MATCH(orders!L$1,products!$A$1:$G$1,0))</f>
        <v>3.5849999999999995</v>
      </c>
      <c r="M866" s="10">
        <f t="shared" si="39"/>
        <v>21.509999999999998</v>
      </c>
      <c r="N866" t="str">
        <f t="shared" si="40"/>
        <v>Robusta</v>
      </c>
      <c r="O866" t="str">
        <f t="shared" si="41"/>
        <v>Light</v>
      </c>
      <c r="P866" t="str">
        <f>_xlfn.XLOOKUP(Table1[[#This Row],[Customer ID]],customers!$A$1:$A$1001,customers!$I$1:$I$1001,,0)</f>
        <v>No</v>
      </c>
    </row>
    <row r="867" spans="1:16" x14ac:dyDescent="0.25">
      <c r="A867" s="2" t="s">
        <v>5380</v>
      </c>
      <c r="B867" s="8">
        <v>44675</v>
      </c>
      <c r="C867" s="2" t="s">
        <v>5428</v>
      </c>
      <c r="D867" t="s">
        <v>6157</v>
      </c>
      <c r="E867" s="2">
        <v>1</v>
      </c>
      <c r="F867" s="2" t="str">
        <f>_xlfn.XLOOKUP(orders!C867,customers!$A$1:$A$1001,customers!$B$1:$B$1001,,0)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9">
        <f>INDEX(products!$A$1:$G$49,MATCH(orders!$D867,products!$A$1:$A$49,0),MATCH(orders!K$1,products!$A$1:$G$1,0))</f>
        <v>0.5</v>
      </c>
      <c r="L867" s="10">
        <f>INDEX(products!$A$1:$G$49,MATCH(orders!$D867,products!$A$1:$A$49,0),MATCH(orders!L$1,products!$A$1:$G$1,0))</f>
        <v>6.75</v>
      </c>
      <c r="M867" s="10">
        <f t="shared" si="39"/>
        <v>6.75</v>
      </c>
      <c r="N867" t="str">
        <f t="shared" si="40"/>
        <v>Arabica</v>
      </c>
      <c r="O867" t="str">
        <f t="shared" si="41"/>
        <v>Medium</v>
      </c>
      <c r="P867" t="str">
        <f>_xlfn.XLOOKUP(Table1[[#This Row],[Customer ID]],customers!$A$1:$A$1001,customers!$I$1:$I$1001,,0)</f>
        <v>Yes</v>
      </c>
    </row>
    <row r="868" spans="1:16" x14ac:dyDescent="0.25">
      <c r="A868" s="2" t="s">
        <v>5385</v>
      </c>
      <c r="B868" s="8">
        <v>44209</v>
      </c>
      <c r="C868" s="2" t="s">
        <v>5386</v>
      </c>
      <c r="D868" t="s">
        <v>6158</v>
      </c>
      <c r="E868" s="2">
        <v>3</v>
      </c>
      <c r="F868" s="2" t="str">
        <f>_xlfn.XLOOKUP(orders!C868,customers!$A$1:$A$1001,customers!$B$1:$B$1001,,0)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9">
        <f>INDEX(products!$A$1:$G$49,MATCH(orders!$D868,products!$A$1:$A$49,0),MATCH(orders!K$1,products!$A$1:$G$1,0))</f>
        <v>0.5</v>
      </c>
      <c r="L868" s="10">
        <f>INDEX(products!$A$1:$G$49,MATCH(orders!$D868,products!$A$1:$A$49,0),MATCH(orders!L$1,products!$A$1:$G$1,0))</f>
        <v>5.97</v>
      </c>
      <c r="M868" s="10">
        <f t="shared" si="39"/>
        <v>17.91</v>
      </c>
      <c r="N868" t="str">
        <f t="shared" si="40"/>
        <v>Arabica</v>
      </c>
      <c r="O868" t="str">
        <f t="shared" si="41"/>
        <v>Dark</v>
      </c>
      <c r="P868" t="str">
        <f>_xlfn.XLOOKUP(Table1[[#This Row],[Customer ID]],customers!$A$1:$A$1001,customers!$I$1:$I$1001,,0)</f>
        <v>No</v>
      </c>
    </row>
    <row r="869" spans="1:16" x14ac:dyDescent="0.25">
      <c r="A869" s="2" t="s">
        <v>5391</v>
      </c>
      <c r="B869" s="8">
        <v>44792</v>
      </c>
      <c r="C869" s="2" t="s">
        <v>5392</v>
      </c>
      <c r="D869" t="s">
        <v>6182</v>
      </c>
      <c r="E869" s="2">
        <v>1</v>
      </c>
      <c r="F869" s="2" t="str">
        <f>_xlfn.XLOOKUP(orders!C869,customers!$A$1:$A$1001,customers!$B$1:$B$1001,,0)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9">
        <f>INDEX(products!$A$1:$G$49,MATCH(orders!$D869,products!$A$1:$A$49,0),MATCH(orders!K$1,products!$A$1:$G$1,0))</f>
        <v>2.5</v>
      </c>
      <c r="L869" s="10">
        <f>INDEX(products!$A$1:$G$49,MATCH(orders!$D869,products!$A$1:$A$49,0),MATCH(orders!L$1,products!$A$1:$G$1,0))</f>
        <v>29.784999999999997</v>
      </c>
      <c r="M869" s="10">
        <f t="shared" si="39"/>
        <v>29.784999999999997</v>
      </c>
      <c r="N869" t="str">
        <f t="shared" si="40"/>
        <v>Arabica</v>
      </c>
      <c r="O869" t="str">
        <f t="shared" si="41"/>
        <v>Light</v>
      </c>
      <c r="P869" t="str">
        <f>_xlfn.XLOOKUP(Table1[[#This Row],[Customer ID]],customers!$A$1:$A$1001,customers!$I$1:$I$1001,,0)</f>
        <v>Yes</v>
      </c>
    </row>
    <row r="870" spans="1:16" x14ac:dyDescent="0.25">
      <c r="A870" s="2" t="s">
        <v>5396</v>
      </c>
      <c r="B870" s="8">
        <v>43526</v>
      </c>
      <c r="C870" s="2" t="s">
        <v>5397</v>
      </c>
      <c r="D870" t="s">
        <v>6139</v>
      </c>
      <c r="E870" s="2">
        <v>5</v>
      </c>
      <c r="F870" s="2" t="str">
        <f>_xlfn.XLOOKUP(orders!C870,customers!$A$1:$A$1001,customers!$B$1:$B$1001,,0)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9">
        <f>INDEX(products!$A$1:$G$49,MATCH(orders!$D870,products!$A$1:$A$49,0),MATCH(orders!K$1,products!$A$1:$G$1,0))</f>
        <v>0.5</v>
      </c>
      <c r="L870" s="10">
        <f>INDEX(products!$A$1:$G$49,MATCH(orders!$D870,products!$A$1:$A$49,0),MATCH(orders!L$1,products!$A$1:$G$1,0))</f>
        <v>8.25</v>
      </c>
      <c r="M870" s="10">
        <f t="shared" si="39"/>
        <v>41.25</v>
      </c>
      <c r="N870" t="str">
        <f t="shared" si="40"/>
        <v>Excelsa</v>
      </c>
      <c r="O870" t="str">
        <f t="shared" si="41"/>
        <v>Medium</v>
      </c>
      <c r="P870" t="str">
        <f>_xlfn.XLOOKUP(Table1[[#This Row],[Customer ID]],customers!$A$1:$A$1001,customers!$I$1:$I$1001,,0)</f>
        <v>Yes</v>
      </c>
    </row>
    <row r="871" spans="1:16" x14ac:dyDescent="0.25">
      <c r="A871" s="2" t="s">
        <v>5402</v>
      </c>
      <c r="B871" s="8">
        <v>43851</v>
      </c>
      <c r="C871" s="2" t="s">
        <v>5403</v>
      </c>
      <c r="D871" t="s">
        <v>6146</v>
      </c>
      <c r="E871" s="2">
        <v>3</v>
      </c>
      <c r="F871" s="2" t="str">
        <f>_xlfn.XLOOKUP(orders!C871,customers!$A$1:$A$1001,customers!$B$1:$B$1001,,0)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9">
        <f>INDEX(products!$A$1:$G$49,MATCH(orders!$D871,products!$A$1:$A$49,0),MATCH(orders!K$1,products!$A$1:$G$1,0))</f>
        <v>0.5</v>
      </c>
      <c r="L871" s="10">
        <f>INDEX(products!$A$1:$G$49,MATCH(orders!$D871,products!$A$1:$A$49,0),MATCH(orders!L$1,products!$A$1:$G$1,0))</f>
        <v>5.97</v>
      </c>
      <c r="M871" s="10">
        <f t="shared" si="39"/>
        <v>17.91</v>
      </c>
      <c r="N871" t="str">
        <f t="shared" si="40"/>
        <v>Robusta</v>
      </c>
      <c r="O871" t="str">
        <f t="shared" si="41"/>
        <v>Medium</v>
      </c>
      <c r="P871" t="str">
        <f>_xlfn.XLOOKUP(Table1[[#This Row],[Customer ID]],customers!$A$1:$A$1001,customers!$I$1:$I$1001,,0)</f>
        <v>Yes</v>
      </c>
    </row>
    <row r="872" spans="1:16" x14ac:dyDescent="0.25">
      <c r="A872" s="2" t="s">
        <v>5407</v>
      </c>
      <c r="B872" s="8">
        <v>44460</v>
      </c>
      <c r="C872" s="2" t="s">
        <v>5408</v>
      </c>
      <c r="D872" t="s">
        <v>6144</v>
      </c>
      <c r="E872" s="2">
        <v>1</v>
      </c>
      <c r="F872" s="2" t="str">
        <f>_xlfn.XLOOKUP(orders!C872,customers!$A$1:$A$1001,customers!$B$1:$B$1001,,0)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9">
        <f>INDEX(products!$A$1:$G$49,MATCH(orders!$D872,products!$A$1:$A$49,0),MATCH(orders!K$1,products!$A$1:$G$1,0))</f>
        <v>0.5</v>
      </c>
      <c r="L872" s="10">
        <f>INDEX(products!$A$1:$G$49,MATCH(orders!$D872,products!$A$1:$A$49,0),MATCH(orders!L$1,products!$A$1:$G$1,0))</f>
        <v>7.29</v>
      </c>
      <c r="M872" s="10">
        <f t="shared" si="39"/>
        <v>7.29</v>
      </c>
      <c r="N872" t="str">
        <f t="shared" si="40"/>
        <v>Excelsa</v>
      </c>
      <c r="O872" t="str">
        <f t="shared" si="41"/>
        <v>Dark</v>
      </c>
      <c r="P872" t="str">
        <f>_xlfn.XLOOKUP(Table1[[#This Row],[Customer ID]],customers!$A$1:$A$1001,customers!$I$1:$I$1001,,0)</f>
        <v>Yes</v>
      </c>
    </row>
    <row r="873" spans="1:16" x14ac:dyDescent="0.25">
      <c r="A873" s="2" t="s">
        <v>5413</v>
      </c>
      <c r="B873" s="8">
        <v>43707</v>
      </c>
      <c r="C873" s="2" t="s">
        <v>5414</v>
      </c>
      <c r="D873" t="s">
        <v>6171</v>
      </c>
      <c r="E873" s="2">
        <v>2</v>
      </c>
      <c r="F873" s="2" t="str">
        <f>_xlfn.XLOOKUP(orders!C873,customers!$A$1:$A$1001,customers!$B$1:$B$1001,,0)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9">
        <f>INDEX(products!$A$1:$G$49,MATCH(orders!$D873,products!$A$1:$A$49,0),MATCH(orders!K$1,products!$A$1:$G$1,0))</f>
        <v>1</v>
      </c>
      <c r="L873" s="10">
        <f>INDEX(products!$A$1:$G$49,MATCH(orders!$D873,products!$A$1:$A$49,0),MATCH(orders!L$1,products!$A$1:$G$1,0))</f>
        <v>14.85</v>
      </c>
      <c r="M873" s="10">
        <f t="shared" si="39"/>
        <v>29.7</v>
      </c>
      <c r="N873" t="str">
        <f t="shared" si="40"/>
        <v>Excelsa</v>
      </c>
      <c r="O873" t="str">
        <f t="shared" si="41"/>
        <v>Light</v>
      </c>
      <c r="P873" t="str">
        <f>_xlfn.XLOOKUP(Table1[[#This Row],[Customer ID]],customers!$A$1:$A$1001,customers!$I$1:$I$1001,,0)</f>
        <v>Yes</v>
      </c>
    </row>
    <row r="874" spans="1:16" x14ac:dyDescent="0.25">
      <c r="A874" s="2" t="s">
        <v>5421</v>
      </c>
      <c r="B874" s="8">
        <v>43521</v>
      </c>
      <c r="C874" s="2" t="s">
        <v>5422</v>
      </c>
      <c r="D874" t="s">
        <v>6155</v>
      </c>
      <c r="E874" s="2">
        <v>2</v>
      </c>
      <c r="F874" s="2" t="str">
        <f>_xlfn.XLOOKUP(orders!C874,customers!$A$1:$A$1001,customers!$B$1:$B$1001,,0)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9">
        <f>INDEX(products!$A$1:$G$49,MATCH(orders!$D874,products!$A$1:$A$49,0),MATCH(orders!K$1,products!$A$1:$G$1,0))</f>
        <v>1</v>
      </c>
      <c r="L874" s="10">
        <f>INDEX(products!$A$1:$G$49,MATCH(orders!$D874,products!$A$1:$A$49,0),MATCH(orders!L$1,products!$A$1:$G$1,0))</f>
        <v>11.25</v>
      </c>
      <c r="M874" s="10">
        <f t="shared" si="39"/>
        <v>22.5</v>
      </c>
      <c r="N874" t="str">
        <f t="shared" si="40"/>
        <v>Arabica</v>
      </c>
      <c r="O874" t="str">
        <f t="shared" si="41"/>
        <v>Medium</v>
      </c>
      <c r="P874" t="str">
        <f>_xlfn.XLOOKUP(Table1[[#This Row],[Customer ID]],customers!$A$1:$A$1001,customers!$I$1:$I$1001,,0)</f>
        <v>No</v>
      </c>
    </row>
    <row r="875" spans="1:16" x14ac:dyDescent="0.25">
      <c r="A875" s="2" t="s">
        <v>5427</v>
      </c>
      <c r="B875" s="8">
        <v>43725</v>
      </c>
      <c r="C875" s="2" t="s">
        <v>5428</v>
      </c>
      <c r="D875" t="s">
        <v>6174</v>
      </c>
      <c r="E875" s="2">
        <v>4</v>
      </c>
      <c r="F875" s="2" t="str">
        <f>_xlfn.XLOOKUP(orders!C875,customers!$A$1:$A$1001,customers!$B$1:$B$1001,,0)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9">
        <f>INDEX(products!$A$1:$G$49,MATCH(orders!$D875,products!$A$1:$A$49,0),MATCH(orders!K$1,products!$A$1:$G$1,0))</f>
        <v>0.2</v>
      </c>
      <c r="L875" s="10">
        <f>INDEX(products!$A$1:$G$49,MATCH(orders!$D875,products!$A$1:$A$49,0),MATCH(orders!L$1,products!$A$1:$G$1,0))</f>
        <v>2.9849999999999999</v>
      </c>
      <c r="M875" s="10">
        <f t="shared" si="39"/>
        <v>11.94</v>
      </c>
      <c r="N875" t="str">
        <f t="shared" si="40"/>
        <v>Robusta</v>
      </c>
      <c r="O875" t="str">
        <f t="shared" si="41"/>
        <v>Medium</v>
      </c>
      <c r="P875" t="str">
        <f>_xlfn.XLOOKUP(Table1[[#This Row],[Customer ID]],customers!$A$1:$A$1001,customers!$I$1:$I$1001,,0)</f>
        <v>Yes</v>
      </c>
    </row>
    <row r="876" spans="1:16" x14ac:dyDescent="0.25">
      <c r="A876" s="2" t="s">
        <v>5433</v>
      </c>
      <c r="B876" s="8">
        <v>43680</v>
      </c>
      <c r="C876" s="2" t="s">
        <v>5434</v>
      </c>
      <c r="D876" t="s">
        <v>6140</v>
      </c>
      <c r="E876" s="2">
        <v>2</v>
      </c>
      <c r="F876" s="2" t="str">
        <f>_xlfn.XLOOKUP(orders!C876,customers!$A$1:$A$1001,customers!$B$1:$B$1001,,0)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9">
        <f>INDEX(products!$A$1:$G$49,MATCH(orders!$D876,products!$A$1:$A$49,0),MATCH(orders!K$1,products!$A$1:$G$1,0))</f>
        <v>1</v>
      </c>
      <c r="L876" s="10">
        <f>INDEX(products!$A$1:$G$49,MATCH(orders!$D876,products!$A$1:$A$49,0),MATCH(orders!L$1,products!$A$1:$G$1,0))</f>
        <v>12.95</v>
      </c>
      <c r="M876" s="10">
        <f t="shared" si="39"/>
        <v>25.9</v>
      </c>
      <c r="N876" t="str">
        <f t="shared" si="40"/>
        <v>Arabica</v>
      </c>
      <c r="O876" t="str">
        <f t="shared" si="41"/>
        <v>Light</v>
      </c>
      <c r="P876" t="str">
        <f>_xlfn.XLOOKUP(Table1[[#This Row],[Customer ID]],customers!$A$1:$A$1001,customers!$I$1:$I$1001,,0)</f>
        <v>No</v>
      </c>
    </row>
    <row r="877" spans="1:16" x14ac:dyDescent="0.25">
      <c r="A877" s="2" t="s">
        <v>5439</v>
      </c>
      <c r="B877" s="8">
        <v>44253</v>
      </c>
      <c r="C877" s="2" t="s">
        <v>5440</v>
      </c>
      <c r="D877" t="s">
        <v>6160</v>
      </c>
      <c r="E877" s="2">
        <v>5</v>
      </c>
      <c r="F877" s="2" t="str">
        <f>_xlfn.XLOOKUP(orders!C877,customers!$A$1:$A$1001,customers!$B$1:$B$1001,,0)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9">
        <f>INDEX(products!$A$1:$G$49,MATCH(orders!$D877,products!$A$1:$A$49,0),MATCH(orders!K$1,products!$A$1:$G$1,0))</f>
        <v>0.5</v>
      </c>
      <c r="L877" s="10">
        <f>INDEX(products!$A$1:$G$49,MATCH(orders!$D877,products!$A$1:$A$49,0),MATCH(orders!L$1,products!$A$1:$G$1,0))</f>
        <v>8.73</v>
      </c>
      <c r="M877" s="10">
        <f t="shared" si="39"/>
        <v>43.650000000000006</v>
      </c>
      <c r="N877" t="str">
        <f t="shared" si="40"/>
        <v>Liberica</v>
      </c>
      <c r="O877" t="str">
        <f t="shared" si="41"/>
        <v>Medium</v>
      </c>
      <c r="P877" t="str">
        <f>_xlfn.XLOOKUP(Table1[[#This Row],[Customer ID]],customers!$A$1:$A$1001,customers!$I$1:$I$1001,,0)</f>
        <v>No</v>
      </c>
    </row>
    <row r="878" spans="1:16" x14ac:dyDescent="0.25">
      <c r="A878" s="2" t="s">
        <v>5439</v>
      </c>
      <c r="B878" s="8">
        <v>44253</v>
      </c>
      <c r="C878" s="2" t="s">
        <v>5440</v>
      </c>
      <c r="D878" t="s">
        <v>6180</v>
      </c>
      <c r="E878" s="2">
        <v>6</v>
      </c>
      <c r="F878" s="2" t="str">
        <f>_xlfn.XLOOKUP(orders!C878,customers!$A$1:$A$1001,customers!$B$1:$B$1001,,0)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9">
        <f>INDEX(products!$A$1:$G$49,MATCH(orders!$D878,products!$A$1:$A$49,0),MATCH(orders!K$1,products!$A$1:$G$1,0))</f>
        <v>0.5</v>
      </c>
      <c r="L878" s="10">
        <f>INDEX(products!$A$1:$G$49,MATCH(orders!$D878,products!$A$1:$A$49,0),MATCH(orders!L$1,products!$A$1:$G$1,0))</f>
        <v>7.77</v>
      </c>
      <c r="M878" s="10">
        <f t="shared" si="39"/>
        <v>46.62</v>
      </c>
      <c r="N878" t="str">
        <f t="shared" si="40"/>
        <v>Arabica</v>
      </c>
      <c r="O878" t="str">
        <f t="shared" si="41"/>
        <v>Light</v>
      </c>
      <c r="P878" t="str">
        <f>_xlfn.XLOOKUP(Table1[[#This Row],[Customer ID]],customers!$A$1:$A$1001,customers!$I$1:$I$1001,,0)</f>
        <v>No</v>
      </c>
    </row>
    <row r="879" spans="1:16" x14ac:dyDescent="0.25">
      <c r="A879" s="2" t="s">
        <v>5450</v>
      </c>
      <c r="B879" s="8">
        <v>44411</v>
      </c>
      <c r="C879" s="2" t="s">
        <v>5451</v>
      </c>
      <c r="D879" t="s">
        <v>6161</v>
      </c>
      <c r="E879" s="2">
        <v>3</v>
      </c>
      <c r="F879" s="2" t="str">
        <f>_xlfn.XLOOKUP(orders!C879,customers!$A$1:$A$1001,customers!$B$1:$B$1001,,0)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9">
        <f>INDEX(products!$A$1:$G$49,MATCH(orders!$D879,products!$A$1:$A$49,0),MATCH(orders!K$1,products!$A$1:$G$1,0))</f>
        <v>0.5</v>
      </c>
      <c r="L879" s="10">
        <f>INDEX(products!$A$1:$G$49,MATCH(orders!$D879,products!$A$1:$A$49,0),MATCH(orders!L$1,products!$A$1:$G$1,0))</f>
        <v>9.51</v>
      </c>
      <c r="M879" s="10">
        <f t="shared" si="39"/>
        <v>28.53</v>
      </c>
      <c r="N879" t="str">
        <f t="shared" si="40"/>
        <v>Liberica</v>
      </c>
      <c r="O879" t="str">
        <f t="shared" si="41"/>
        <v>Light</v>
      </c>
      <c r="P879" t="str">
        <f>_xlfn.XLOOKUP(Table1[[#This Row],[Customer ID]],customers!$A$1:$A$1001,customers!$I$1:$I$1001,,0)</f>
        <v>No</v>
      </c>
    </row>
    <row r="880" spans="1:16" x14ac:dyDescent="0.25">
      <c r="A880" s="2" t="s">
        <v>5456</v>
      </c>
      <c r="B880" s="8">
        <v>44323</v>
      </c>
      <c r="C880" s="2" t="s">
        <v>5457</v>
      </c>
      <c r="D880" t="s">
        <v>6142</v>
      </c>
      <c r="E880" s="2">
        <v>1</v>
      </c>
      <c r="F880" s="2" t="str">
        <f>_xlfn.XLOOKUP(orders!C880,customers!$A$1:$A$1001,customers!$B$1:$B$1001,,0)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9">
        <f>INDEX(products!$A$1:$G$49,MATCH(orders!$D880,products!$A$1:$A$49,0),MATCH(orders!K$1,products!$A$1:$G$1,0))</f>
        <v>2.5</v>
      </c>
      <c r="L880" s="10">
        <f>INDEX(products!$A$1:$G$49,MATCH(orders!$D880,products!$A$1:$A$49,0),MATCH(orders!L$1,products!$A$1:$G$1,0))</f>
        <v>27.484999999999996</v>
      </c>
      <c r="M880" s="10">
        <f t="shared" si="39"/>
        <v>27.484999999999996</v>
      </c>
      <c r="N880" t="str">
        <f t="shared" si="40"/>
        <v>Robusta</v>
      </c>
      <c r="O880" t="str">
        <f t="shared" si="41"/>
        <v>Light</v>
      </c>
      <c r="P880" t="str">
        <f>_xlfn.XLOOKUP(Table1[[#This Row],[Customer ID]],customers!$A$1:$A$1001,customers!$I$1:$I$1001,,0)</f>
        <v>Yes</v>
      </c>
    </row>
    <row r="881" spans="1:16" x14ac:dyDescent="0.25">
      <c r="A881" s="2" t="s">
        <v>5461</v>
      </c>
      <c r="B881" s="8">
        <v>43630</v>
      </c>
      <c r="C881" s="2" t="s">
        <v>5462</v>
      </c>
      <c r="D881" t="s">
        <v>6153</v>
      </c>
      <c r="E881" s="2">
        <v>3</v>
      </c>
      <c r="F881" s="2" t="str">
        <f>_xlfn.XLOOKUP(orders!C881,customers!$A$1:$A$1001,customers!$B$1:$B$1001,,0)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9">
        <f>INDEX(products!$A$1:$G$49,MATCH(orders!$D881,products!$A$1:$A$49,0),MATCH(orders!K$1,products!$A$1:$G$1,0))</f>
        <v>0.2</v>
      </c>
      <c r="L881" s="10">
        <f>INDEX(products!$A$1:$G$49,MATCH(orders!$D881,products!$A$1:$A$49,0),MATCH(orders!L$1,products!$A$1:$G$1,0))</f>
        <v>3.645</v>
      </c>
      <c r="M881" s="10">
        <f t="shared" si="39"/>
        <v>10.935</v>
      </c>
      <c r="N881" t="str">
        <f t="shared" si="40"/>
        <v>Excelsa</v>
      </c>
      <c r="O881" t="str">
        <f t="shared" si="41"/>
        <v>Dark</v>
      </c>
      <c r="P881" t="str">
        <f>_xlfn.XLOOKUP(Table1[[#This Row],[Customer ID]],customers!$A$1:$A$1001,customers!$I$1:$I$1001,,0)</f>
        <v>No</v>
      </c>
    </row>
    <row r="882" spans="1:16" x14ac:dyDescent="0.25">
      <c r="A882" s="2" t="s">
        <v>5466</v>
      </c>
      <c r="B882" s="8">
        <v>43790</v>
      </c>
      <c r="C882" s="2" t="s">
        <v>5467</v>
      </c>
      <c r="D882" t="s">
        <v>6178</v>
      </c>
      <c r="E882" s="2">
        <v>2</v>
      </c>
      <c r="F882" s="2" t="str">
        <f>_xlfn.XLOOKUP(orders!C882,customers!$A$1:$A$1001,customers!$B$1:$B$1001,,0)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9">
        <f>INDEX(products!$A$1:$G$49,MATCH(orders!$D882,products!$A$1:$A$49,0),MATCH(orders!K$1,products!$A$1:$G$1,0))</f>
        <v>0.2</v>
      </c>
      <c r="L882" s="10">
        <f>INDEX(products!$A$1:$G$49,MATCH(orders!$D882,products!$A$1:$A$49,0),MATCH(orders!L$1,products!$A$1:$G$1,0))</f>
        <v>3.5849999999999995</v>
      </c>
      <c r="M882" s="10">
        <f t="shared" si="39"/>
        <v>7.169999999999999</v>
      </c>
      <c r="N882" t="str">
        <f t="shared" si="40"/>
        <v>Robusta</v>
      </c>
      <c r="O882" t="str">
        <f t="shared" si="41"/>
        <v>Light</v>
      </c>
      <c r="P882" t="str">
        <f>_xlfn.XLOOKUP(Table1[[#This Row],[Customer ID]],customers!$A$1:$A$1001,customers!$I$1:$I$1001,,0)</f>
        <v>No</v>
      </c>
    </row>
    <row r="883" spans="1:16" x14ac:dyDescent="0.25">
      <c r="A883" s="2" t="s">
        <v>5472</v>
      </c>
      <c r="B883" s="8">
        <v>44286</v>
      </c>
      <c r="C883" s="2" t="s">
        <v>5473</v>
      </c>
      <c r="D883" t="s">
        <v>6167</v>
      </c>
      <c r="E883" s="2">
        <v>6</v>
      </c>
      <c r="F883" s="2" t="str">
        <f>_xlfn.XLOOKUP(orders!C883,customers!$A$1:$A$1001,customers!$B$1:$B$1001,,0)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9">
        <f>INDEX(products!$A$1:$G$49,MATCH(orders!$D883,products!$A$1:$A$49,0),MATCH(orders!K$1,products!$A$1:$G$1,0))</f>
        <v>0.2</v>
      </c>
      <c r="L883" s="10">
        <f>INDEX(products!$A$1:$G$49,MATCH(orders!$D883,products!$A$1:$A$49,0),MATCH(orders!L$1,products!$A$1:$G$1,0))</f>
        <v>3.8849999999999998</v>
      </c>
      <c r="M883" s="10">
        <f t="shared" si="39"/>
        <v>23.31</v>
      </c>
      <c r="N883" t="str">
        <f t="shared" si="40"/>
        <v>Arabica</v>
      </c>
      <c r="O883" t="str">
        <f t="shared" si="41"/>
        <v>Light</v>
      </c>
      <c r="P883" t="str">
        <f>_xlfn.XLOOKUP(Table1[[#This Row],[Customer ID]],customers!$A$1:$A$1001,customers!$I$1:$I$1001,,0)</f>
        <v>Yes</v>
      </c>
    </row>
    <row r="884" spans="1:16" x14ac:dyDescent="0.25">
      <c r="A884" s="2" t="s">
        <v>5477</v>
      </c>
      <c r="B884" s="8">
        <v>43647</v>
      </c>
      <c r="C884" s="2" t="s">
        <v>5526</v>
      </c>
      <c r="D884" t="s">
        <v>6168</v>
      </c>
      <c r="E884" s="2">
        <v>5</v>
      </c>
      <c r="F884" s="2" t="str">
        <f>_xlfn.XLOOKUP(orders!C884,customers!$A$1:$A$1001,customers!$B$1:$B$1001,,0)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9">
        <f>INDEX(products!$A$1:$G$49,MATCH(orders!$D884,products!$A$1:$A$49,0),MATCH(orders!K$1,products!$A$1:$G$1,0))</f>
        <v>2.5</v>
      </c>
      <c r="L884" s="10">
        <f>INDEX(products!$A$1:$G$49,MATCH(orders!$D884,products!$A$1:$A$49,0),MATCH(orders!L$1,products!$A$1:$G$1,0))</f>
        <v>22.884999999999998</v>
      </c>
      <c r="M884" s="10">
        <f t="shared" si="39"/>
        <v>114.42499999999998</v>
      </c>
      <c r="N884" t="str">
        <f t="shared" si="40"/>
        <v>Arabica</v>
      </c>
      <c r="O884" t="str">
        <f t="shared" si="41"/>
        <v>Dark</v>
      </c>
      <c r="P884" t="str">
        <f>_xlfn.XLOOKUP(Table1[[#This Row],[Customer ID]],customers!$A$1:$A$1001,customers!$I$1:$I$1001,,0)</f>
        <v>Yes</v>
      </c>
    </row>
    <row r="885" spans="1:16" x14ac:dyDescent="0.25">
      <c r="A885" s="2" t="s">
        <v>5483</v>
      </c>
      <c r="B885" s="8">
        <v>43956</v>
      </c>
      <c r="C885" s="2" t="s">
        <v>5484</v>
      </c>
      <c r="D885" t="s">
        <v>6175</v>
      </c>
      <c r="E885" s="2">
        <v>3</v>
      </c>
      <c r="F885" s="2" t="str">
        <f>_xlfn.XLOOKUP(orders!C885,customers!$A$1:$A$1001,customers!$B$1:$B$1001,,0)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9">
        <f>INDEX(products!$A$1:$G$49,MATCH(orders!$D885,products!$A$1:$A$49,0),MATCH(orders!K$1,products!$A$1:$G$1,0))</f>
        <v>2.5</v>
      </c>
      <c r="L885" s="10">
        <f>INDEX(products!$A$1:$G$49,MATCH(orders!$D885,products!$A$1:$A$49,0),MATCH(orders!L$1,products!$A$1:$G$1,0))</f>
        <v>25.874999999999996</v>
      </c>
      <c r="M885" s="10">
        <f t="shared" si="39"/>
        <v>77.624999999999986</v>
      </c>
      <c r="N885" t="str">
        <f t="shared" si="40"/>
        <v>Arabica</v>
      </c>
      <c r="O885" t="str">
        <f t="shared" si="41"/>
        <v>Medium</v>
      </c>
      <c r="P885" t="str">
        <f>_xlfn.XLOOKUP(Table1[[#This Row],[Customer ID]],customers!$A$1:$A$1001,customers!$I$1:$I$1001,,0)</f>
        <v>Yes</v>
      </c>
    </row>
    <row r="886" spans="1:16" x14ac:dyDescent="0.25">
      <c r="A886" s="2" t="s">
        <v>5489</v>
      </c>
      <c r="B886" s="8">
        <v>43941</v>
      </c>
      <c r="C886" s="2" t="s">
        <v>5490</v>
      </c>
      <c r="D886" t="s">
        <v>6172</v>
      </c>
      <c r="E886" s="2">
        <v>1</v>
      </c>
      <c r="F886" s="2" t="str">
        <f>_xlfn.XLOOKUP(orders!C886,customers!$A$1:$A$1001,customers!$B$1:$B$1001,,0)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9">
        <f>INDEX(products!$A$1:$G$49,MATCH(orders!$D886,products!$A$1:$A$49,0),MATCH(orders!K$1,products!$A$1:$G$1,0))</f>
        <v>0.5</v>
      </c>
      <c r="L886" s="10">
        <f>INDEX(products!$A$1:$G$49,MATCH(orders!$D886,products!$A$1:$A$49,0),MATCH(orders!L$1,products!$A$1:$G$1,0))</f>
        <v>5.3699999999999992</v>
      </c>
      <c r="M886" s="10">
        <f t="shared" si="39"/>
        <v>5.3699999999999992</v>
      </c>
      <c r="N886" t="str">
        <f t="shared" si="40"/>
        <v>Robusta</v>
      </c>
      <c r="O886" t="str">
        <f t="shared" si="41"/>
        <v>Dark</v>
      </c>
      <c r="P886" t="str">
        <f>_xlfn.XLOOKUP(Table1[[#This Row],[Customer ID]],customers!$A$1:$A$1001,customers!$I$1:$I$1001,,0)</f>
        <v>Yes</v>
      </c>
    </row>
    <row r="887" spans="1:16" x14ac:dyDescent="0.25">
      <c r="A887" s="2" t="s">
        <v>5495</v>
      </c>
      <c r="B887" s="8">
        <v>43664</v>
      </c>
      <c r="C887" s="2" t="s">
        <v>5496</v>
      </c>
      <c r="D887" t="s">
        <v>6149</v>
      </c>
      <c r="E887" s="2">
        <v>6</v>
      </c>
      <c r="F887" s="2" t="str">
        <f>_xlfn.XLOOKUP(orders!C887,customers!$A$1:$A$1001,customers!$B$1:$B$1001,,0)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9">
        <f>INDEX(products!$A$1:$G$49,MATCH(orders!$D887,products!$A$1:$A$49,0),MATCH(orders!K$1,products!$A$1:$G$1,0))</f>
        <v>2.5</v>
      </c>
      <c r="L887" s="10">
        <f>INDEX(products!$A$1:$G$49,MATCH(orders!$D887,products!$A$1:$A$49,0),MATCH(orders!L$1,products!$A$1:$G$1,0))</f>
        <v>20.584999999999997</v>
      </c>
      <c r="M887" s="10">
        <f t="shared" si="39"/>
        <v>123.50999999999999</v>
      </c>
      <c r="N887" t="str">
        <f t="shared" si="40"/>
        <v>Robusta</v>
      </c>
      <c r="O887" t="str">
        <f t="shared" si="41"/>
        <v>Dark</v>
      </c>
      <c r="P887" t="str">
        <f>_xlfn.XLOOKUP(Table1[[#This Row],[Customer ID]],customers!$A$1:$A$1001,customers!$I$1:$I$1001,,0)</f>
        <v>No</v>
      </c>
    </row>
    <row r="888" spans="1:16" x14ac:dyDescent="0.25">
      <c r="A888" s="2" t="s">
        <v>5501</v>
      </c>
      <c r="B888" s="8">
        <v>44518</v>
      </c>
      <c r="C888" s="2" t="s">
        <v>5502</v>
      </c>
      <c r="D888" t="s">
        <v>6160</v>
      </c>
      <c r="E888" s="2">
        <v>2</v>
      </c>
      <c r="F888" s="2" t="str">
        <f>_xlfn.XLOOKUP(orders!C888,customers!$A$1:$A$1001,customers!$B$1:$B$1001,,0)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9">
        <f>INDEX(products!$A$1:$G$49,MATCH(orders!$D888,products!$A$1:$A$49,0),MATCH(orders!K$1,products!$A$1:$G$1,0))</f>
        <v>0.5</v>
      </c>
      <c r="L888" s="10">
        <f>INDEX(products!$A$1:$G$49,MATCH(orders!$D888,products!$A$1:$A$49,0),MATCH(orders!L$1,products!$A$1:$G$1,0))</f>
        <v>8.73</v>
      </c>
      <c r="M888" s="10">
        <f t="shared" si="39"/>
        <v>17.46</v>
      </c>
      <c r="N888" t="str">
        <f t="shared" si="40"/>
        <v>Liberica</v>
      </c>
      <c r="O888" t="str">
        <f t="shared" si="41"/>
        <v>Medium</v>
      </c>
      <c r="P888" t="str">
        <f>_xlfn.XLOOKUP(Table1[[#This Row],[Customer ID]],customers!$A$1:$A$1001,customers!$I$1:$I$1001,,0)</f>
        <v>No</v>
      </c>
    </row>
    <row r="889" spans="1:16" x14ac:dyDescent="0.25">
      <c r="A889" s="2" t="s">
        <v>5507</v>
      </c>
      <c r="B889" s="8">
        <v>44002</v>
      </c>
      <c r="C889" s="2" t="s">
        <v>5508</v>
      </c>
      <c r="D889" t="s">
        <v>6184</v>
      </c>
      <c r="E889" s="2">
        <v>3</v>
      </c>
      <c r="F889" s="2" t="str">
        <f>_xlfn.XLOOKUP(orders!C889,customers!$A$1:$A$1001,customers!$B$1:$B$1001,,0)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9">
        <f>INDEX(products!$A$1:$G$49,MATCH(orders!$D889,products!$A$1:$A$49,0),MATCH(orders!K$1,products!$A$1:$G$1,0))</f>
        <v>0.2</v>
      </c>
      <c r="L889" s="10">
        <f>INDEX(products!$A$1:$G$49,MATCH(orders!$D889,products!$A$1:$A$49,0),MATCH(orders!L$1,products!$A$1:$G$1,0))</f>
        <v>4.4550000000000001</v>
      </c>
      <c r="M889" s="10">
        <f t="shared" si="39"/>
        <v>13.365</v>
      </c>
      <c r="N889" t="str">
        <f t="shared" si="40"/>
        <v>Excelsa</v>
      </c>
      <c r="O889" t="str">
        <f t="shared" si="41"/>
        <v>Light</v>
      </c>
      <c r="P889" t="str">
        <f>_xlfn.XLOOKUP(Table1[[#This Row],[Customer ID]],customers!$A$1:$A$1001,customers!$I$1:$I$1001,,0)</f>
        <v>No</v>
      </c>
    </row>
    <row r="890" spans="1:16" x14ac:dyDescent="0.25">
      <c r="A890" s="2" t="s">
        <v>5513</v>
      </c>
      <c r="B890" s="8">
        <v>44292</v>
      </c>
      <c r="C890" s="2" t="s">
        <v>5514</v>
      </c>
      <c r="D890" t="s">
        <v>6167</v>
      </c>
      <c r="E890" s="2">
        <v>2</v>
      </c>
      <c r="F890" s="2" t="str">
        <f>_xlfn.XLOOKUP(orders!C890,customers!$A$1:$A$1001,customers!$B$1:$B$1001,,0)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9">
        <f>INDEX(products!$A$1:$G$49,MATCH(orders!$D890,products!$A$1:$A$49,0),MATCH(orders!K$1,products!$A$1:$G$1,0))</f>
        <v>0.2</v>
      </c>
      <c r="L890" s="10">
        <f>INDEX(products!$A$1:$G$49,MATCH(orders!$D890,products!$A$1:$A$49,0),MATCH(orders!L$1,products!$A$1:$G$1,0))</f>
        <v>3.8849999999999998</v>
      </c>
      <c r="M890" s="10">
        <f t="shared" si="39"/>
        <v>7.77</v>
      </c>
      <c r="N890" t="str">
        <f t="shared" si="40"/>
        <v>Arabica</v>
      </c>
      <c r="O890" t="str">
        <f t="shared" si="41"/>
        <v>Light</v>
      </c>
      <c r="P890" t="str">
        <f>_xlfn.XLOOKUP(Table1[[#This Row],[Customer ID]],customers!$A$1:$A$1001,customers!$I$1:$I$1001,,0)</f>
        <v>Yes</v>
      </c>
    </row>
    <row r="891" spans="1:16" x14ac:dyDescent="0.25">
      <c r="A891" s="2" t="s">
        <v>5519</v>
      </c>
      <c r="B891" s="8">
        <v>43633</v>
      </c>
      <c r="C891" s="2" t="s">
        <v>5520</v>
      </c>
      <c r="D891" t="s">
        <v>6163</v>
      </c>
      <c r="E891" s="2">
        <v>1</v>
      </c>
      <c r="F891" s="2" t="str">
        <f>_xlfn.XLOOKUP(orders!C891,customers!$A$1:$A$1001,customers!$B$1:$B$1001,,0)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9">
        <f>INDEX(products!$A$1:$G$49,MATCH(orders!$D891,products!$A$1:$A$49,0),MATCH(orders!K$1,products!$A$1:$G$1,0))</f>
        <v>0.2</v>
      </c>
      <c r="L891" s="10">
        <f>INDEX(products!$A$1:$G$49,MATCH(orders!$D891,products!$A$1:$A$49,0),MATCH(orders!L$1,products!$A$1:$G$1,0))</f>
        <v>2.6849999999999996</v>
      </c>
      <c r="M891" s="10">
        <f t="shared" si="39"/>
        <v>2.6849999999999996</v>
      </c>
      <c r="N891" t="str">
        <f t="shared" si="40"/>
        <v>Robusta</v>
      </c>
      <c r="O891" t="str">
        <f t="shared" si="41"/>
        <v>Dark</v>
      </c>
      <c r="P891" t="str">
        <f>_xlfn.XLOOKUP(Table1[[#This Row],[Customer ID]],customers!$A$1:$A$1001,customers!$I$1:$I$1001,,0)</f>
        <v>Yes</v>
      </c>
    </row>
    <row r="892" spans="1:16" x14ac:dyDescent="0.25">
      <c r="A892" s="2" t="s">
        <v>5525</v>
      </c>
      <c r="B892" s="8">
        <v>44646</v>
      </c>
      <c r="C892" s="2" t="s">
        <v>5526</v>
      </c>
      <c r="D892" t="s">
        <v>6149</v>
      </c>
      <c r="E892" s="2">
        <v>1</v>
      </c>
      <c r="F892" s="2" t="str">
        <f>_xlfn.XLOOKUP(orders!C892,customers!$A$1:$A$1001,customers!$B$1:$B$1001,,0)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9">
        <f>INDEX(products!$A$1:$G$49,MATCH(orders!$D892,products!$A$1:$A$49,0),MATCH(orders!K$1,products!$A$1:$G$1,0))</f>
        <v>2.5</v>
      </c>
      <c r="L892" s="10">
        <f>INDEX(products!$A$1:$G$49,MATCH(orders!$D892,products!$A$1:$A$49,0),MATCH(orders!L$1,products!$A$1:$G$1,0))</f>
        <v>20.584999999999997</v>
      </c>
      <c r="M892" s="10">
        <f t="shared" si="39"/>
        <v>20.584999999999997</v>
      </c>
      <c r="N892" t="str">
        <f t="shared" si="40"/>
        <v>Robusta</v>
      </c>
      <c r="O892" t="str">
        <f t="shared" si="41"/>
        <v>Dark</v>
      </c>
      <c r="P892" t="str">
        <f>_xlfn.XLOOKUP(Table1[[#This Row],[Customer ID]],customers!$A$1:$A$1001,customers!$I$1:$I$1001,,0)</f>
        <v>Yes</v>
      </c>
    </row>
    <row r="893" spans="1:16" x14ac:dyDescent="0.25">
      <c r="A893" s="2" t="s">
        <v>5531</v>
      </c>
      <c r="B893" s="8">
        <v>44469</v>
      </c>
      <c r="C893" s="2" t="s">
        <v>5532</v>
      </c>
      <c r="D893" t="s">
        <v>6168</v>
      </c>
      <c r="E893" s="2">
        <v>5</v>
      </c>
      <c r="F893" s="2" t="str">
        <f>_xlfn.XLOOKUP(orders!C893,customers!$A$1:$A$1001,customers!$B$1:$B$1001,,0)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9">
        <f>INDEX(products!$A$1:$G$49,MATCH(orders!$D893,products!$A$1:$A$49,0),MATCH(orders!K$1,products!$A$1:$G$1,0))</f>
        <v>2.5</v>
      </c>
      <c r="L893" s="10">
        <f>INDEX(products!$A$1:$G$49,MATCH(orders!$D893,products!$A$1:$A$49,0),MATCH(orders!L$1,products!$A$1:$G$1,0))</f>
        <v>22.884999999999998</v>
      </c>
      <c r="M893" s="10">
        <f t="shared" si="39"/>
        <v>114.42499999999998</v>
      </c>
      <c r="N893" t="str">
        <f t="shared" si="40"/>
        <v>Arabica</v>
      </c>
      <c r="O893" t="str">
        <f t="shared" si="41"/>
        <v>Dark</v>
      </c>
      <c r="P893" t="str">
        <f>_xlfn.XLOOKUP(Table1[[#This Row],[Customer ID]],customers!$A$1:$A$1001,customers!$I$1:$I$1001,,0)</f>
        <v>Yes</v>
      </c>
    </row>
    <row r="894" spans="1:16" x14ac:dyDescent="0.25">
      <c r="A894" s="2" t="s">
        <v>5537</v>
      </c>
      <c r="B894" s="8">
        <v>43635</v>
      </c>
      <c r="C894" s="2" t="s">
        <v>5538</v>
      </c>
      <c r="D894" t="s">
        <v>6156</v>
      </c>
      <c r="E894" s="2">
        <v>5</v>
      </c>
      <c r="F894" s="2" t="str">
        <f>_xlfn.XLOOKUP(orders!C894,customers!$A$1:$A$1001,customers!$B$1:$B$1001,,0)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9">
        <f>INDEX(products!$A$1:$G$49,MATCH(orders!$D894,products!$A$1:$A$49,0),MATCH(orders!K$1,products!$A$1:$G$1,0))</f>
        <v>0.2</v>
      </c>
      <c r="L894" s="10">
        <f>INDEX(products!$A$1:$G$49,MATCH(orders!$D894,products!$A$1:$A$49,0),MATCH(orders!L$1,products!$A$1:$G$1,0))</f>
        <v>4.125</v>
      </c>
      <c r="M894" s="10">
        <f t="shared" si="39"/>
        <v>20.625</v>
      </c>
      <c r="N894" t="str">
        <f t="shared" si="40"/>
        <v>Excelsa</v>
      </c>
      <c r="O894" t="str">
        <f t="shared" si="41"/>
        <v>Medium</v>
      </c>
      <c r="P894" t="str">
        <f>_xlfn.XLOOKUP(Table1[[#This Row],[Customer ID]],customers!$A$1:$A$1001,customers!$I$1:$I$1001,,0)</f>
        <v>No</v>
      </c>
    </row>
    <row r="895" spans="1:16" x14ac:dyDescent="0.25">
      <c r="A895" s="2" t="s">
        <v>5543</v>
      </c>
      <c r="B895" s="8">
        <v>44651</v>
      </c>
      <c r="C895" s="2" t="s">
        <v>5544</v>
      </c>
      <c r="D895" t="s">
        <v>6161</v>
      </c>
      <c r="E895" s="2">
        <v>6</v>
      </c>
      <c r="F895" s="2" t="str">
        <f>_xlfn.XLOOKUP(orders!C895,customers!$A$1:$A$1001,customers!$B$1:$B$1001,,0)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9">
        <f>INDEX(products!$A$1:$G$49,MATCH(orders!$D895,products!$A$1:$A$49,0),MATCH(orders!K$1,products!$A$1:$G$1,0))</f>
        <v>0.5</v>
      </c>
      <c r="L895" s="10">
        <f>INDEX(products!$A$1:$G$49,MATCH(orders!$D895,products!$A$1:$A$49,0),MATCH(orders!L$1,products!$A$1:$G$1,0))</f>
        <v>9.51</v>
      </c>
      <c r="M895" s="10">
        <f t="shared" si="39"/>
        <v>57.06</v>
      </c>
      <c r="N895" t="str">
        <f t="shared" si="40"/>
        <v>Liberica</v>
      </c>
      <c r="O895" t="str">
        <f t="shared" si="41"/>
        <v>Light</v>
      </c>
      <c r="P895" t="str">
        <f>_xlfn.XLOOKUP(Table1[[#This Row],[Customer ID]],customers!$A$1:$A$1001,customers!$I$1:$I$1001,,0)</f>
        <v>Yes</v>
      </c>
    </row>
    <row r="896" spans="1:16" x14ac:dyDescent="0.25">
      <c r="A896" s="2" t="s">
        <v>5548</v>
      </c>
      <c r="B896" s="8">
        <v>44016</v>
      </c>
      <c r="C896" s="2" t="s">
        <v>5549</v>
      </c>
      <c r="D896" t="s">
        <v>6149</v>
      </c>
      <c r="E896" s="2">
        <v>4</v>
      </c>
      <c r="F896" s="2" t="str">
        <f>_xlfn.XLOOKUP(orders!C896,customers!$A$1:$A$1001,customers!$B$1:$B$1001,,0)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9">
        <f>INDEX(products!$A$1:$G$49,MATCH(orders!$D896,products!$A$1:$A$49,0),MATCH(orders!K$1,products!$A$1:$G$1,0))</f>
        <v>2.5</v>
      </c>
      <c r="L896" s="10">
        <f>INDEX(products!$A$1:$G$49,MATCH(orders!$D896,products!$A$1:$A$49,0),MATCH(orders!L$1,products!$A$1:$G$1,0))</f>
        <v>20.584999999999997</v>
      </c>
      <c r="M896" s="10">
        <f t="shared" si="39"/>
        <v>82.339999999999989</v>
      </c>
      <c r="N896" t="str">
        <f t="shared" si="40"/>
        <v>Robusta</v>
      </c>
      <c r="O896" t="str">
        <f t="shared" si="41"/>
        <v>Dark</v>
      </c>
      <c r="P896" t="str">
        <f>_xlfn.XLOOKUP(Table1[[#This Row],[Customer ID]],customers!$A$1:$A$1001,customers!$I$1:$I$1001,,0)</f>
        <v>Yes</v>
      </c>
    </row>
    <row r="897" spans="1:16" x14ac:dyDescent="0.25">
      <c r="A897" s="2" t="s">
        <v>5553</v>
      </c>
      <c r="B897" s="8">
        <v>44521</v>
      </c>
      <c r="C897" s="2" t="s">
        <v>5554</v>
      </c>
      <c r="D897" t="s">
        <v>6166</v>
      </c>
      <c r="E897" s="2">
        <v>5</v>
      </c>
      <c r="F897" s="2" t="str">
        <f>_xlfn.XLOOKUP(orders!C897,customers!$A$1:$A$1001,customers!$B$1:$B$1001,,0)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9">
        <f>INDEX(products!$A$1:$G$49,MATCH(orders!$D897,products!$A$1:$A$49,0),MATCH(orders!K$1,products!$A$1:$G$1,0))</f>
        <v>2.5</v>
      </c>
      <c r="L897" s="10">
        <f>INDEX(products!$A$1:$G$49,MATCH(orders!$D897,products!$A$1:$A$49,0),MATCH(orders!L$1,products!$A$1:$G$1,0))</f>
        <v>31.624999999999996</v>
      </c>
      <c r="M897" s="10">
        <f t="shared" si="39"/>
        <v>158.12499999999997</v>
      </c>
      <c r="N897" t="str">
        <f t="shared" si="40"/>
        <v>Excelsa</v>
      </c>
      <c r="O897" t="str">
        <f t="shared" si="41"/>
        <v>Medium</v>
      </c>
      <c r="P897" t="str">
        <f>_xlfn.XLOOKUP(Table1[[#This Row],[Customer ID]],customers!$A$1:$A$1001,customers!$I$1:$I$1001,,0)</f>
        <v>No</v>
      </c>
    </row>
    <row r="898" spans="1:16" x14ac:dyDescent="0.25">
      <c r="A898" s="2" t="s">
        <v>5558</v>
      </c>
      <c r="B898" s="8">
        <v>44347</v>
      </c>
      <c r="C898" s="2" t="s">
        <v>5559</v>
      </c>
      <c r="D898" t="s">
        <v>6172</v>
      </c>
      <c r="E898" s="2">
        <v>6</v>
      </c>
      <c r="F898" s="2" t="str">
        <f>_xlfn.XLOOKUP(orders!C898,customers!$A$1:$A$1001,customers!$B$1:$B$1001,,0)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9">
        <f>INDEX(products!$A$1:$G$49,MATCH(orders!$D898,products!$A$1:$A$49,0),MATCH(orders!K$1,products!$A$1:$G$1,0))</f>
        <v>0.5</v>
      </c>
      <c r="L898" s="10">
        <f>INDEX(products!$A$1:$G$49,MATCH(orders!$D898,products!$A$1:$A$49,0),MATCH(orders!L$1,products!$A$1:$G$1,0))</f>
        <v>5.3699999999999992</v>
      </c>
      <c r="M898" s="10">
        <f t="shared" si="39"/>
        <v>32.22</v>
      </c>
      <c r="N898" t="str">
        <f t="shared" si="40"/>
        <v>Robusta</v>
      </c>
      <c r="O898" t="str">
        <f t="shared" si="41"/>
        <v>Dark</v>
      </c>
      <c r="P898" t="str">
        <f>_xlfn.XLOOKUP(Table1[[#This Row],[Customer ID]],customers!$A$1:$A$1001,customers!$I$1:$I$1001,,0)</f>
        <v>Yes</v>
      </c>
    </row>
    <row r="899" spans="1:16" x14ac:dyDescent="0.25">
      <c r="A899" s="2" t="s">
        <v>5564</v>
      </c>
      <c r="B899" s="8">
        <v>43932</v>
      </c>
      <c r="C899" s="2" t="s">
        <v>5565</v>
      </c>
      <c r="D899" t="s">
        <v>6183</v>
      </c>
      <c r="E899" s="2">
        <v>2</v>
      </c>
      <c r="F899" s="2" t="str">
        <f>_xlfn.XLOOKUP(orders!C899,customers!$A$1:$A$1001,customers!$B$1:$B$1001,,0)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9">
        <f>INDEX(products!$A$1:$G$49,MATCH(orders!$D899,products!$A$1:$A$49,0),MATCH(orders!K$1,products!$A$1:$G$1,0))</f>
        <v>1</v>
      </c>
      <c r="L899" s="10">
        <f>INDEX(products!$A$1:$G$49,MATCH(orders!$D899,products!$A$1:$A$49,0),MATCH(orders!L$1,products!$A$1:$G$1,0))</f>
        <v>12.15</v>
      </c>
      <c r="M899" s="10">
        <f t="shared" ref="M899:M962" si="42">L899*E899</f>
        <v>24.3</v>
      </c>
      <c r="N899" t="str">
        <f t="shared" ref="N899:N962" si="43">IF(I899="Rob", "Robusta", IF(I899="Exc","Excelsa", IF(I899="Ara","Arabica", IF(I899="Lib","Liberica",""))))</f>
        <v>Excelsa</v>
      </c>
      <c r="O899" t="str">
        <f t="shared" ref="O899:O962" si="44">IF(J899="M", "Medium", IF(J899="L","Light",IF(J899="D","Dark","")))</f>
        <v>Dark</v>
      </c>
      <c r="P899" t="str">
        <f>_xlfn.XLOOKUP(Table1[[#This Row],[Customer ID]],customers!$A$1:$A$1001,customers!$I$1:$I$1001,,0)</f>
        <v>No</v>
      </c>
    </row>
    <row r="900" spans="1:16" x14ac:dyDescent="0.25">
      <c r="A900" s="2" t="s">
        <v>5570</v>
      </c>
      <c r="B900" s="8">
        <v>44089</v>
      </c>
      <c r="C900" s="2" t="s">
        <v>5571</v>
      </c>
      <c r="D900" t="s">
        <v>6173</v>
      </c>
      <c r="E900" s="2">
        <v>5</v>
      </c>
      <c r="F900" s="2" t="str">
        <f>_xlfn.XLOOKUP(orders!C900,customers!$A$1:$A$1001,customers!$B$1:$B$1001,,0)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9">
        <f>INDEX(products!$A$1:$G$49,MATCH(orders!$D900,products!$A$1:$A$49,0),MATCH(orders!K$1,products!$A$1:$G$1,0))</f>
        <v>0.5</v>
      </c>
      <c r="L900" s="10">
        <f>INDEX(products!$A$1:$G$49,MATCH(orders!$D900,products!$A$1:$A$49,0),MATCH(orders!L$1,products!$A$1:$G$1,0))</f>
        <v>7.169999999999999</v>
      </c>
      <c r="M900" s="10">
        <f t="shared" si="42"/>
        <v>35.849999999999994</v>
      </c>
      <c r="N900" t="str">
        <f t="shared" si="43"/>
        <v>Robusta</v>
      </c>
      <c r="O900" t="str">
        <f t="shared" si="44"/>
        <v>Light</v>
      </c>
      <c r="P900" t="str">
        <f>_xlfn.XLOOKUP(Table1[[#This Row],[Customer ID]],customers!$A$1:$A$1001,customers!$I$1:$I$1001,,0)</f>
        <v>No</v>
      </c>
    </row>
    <row r="901" spans="1:16" x14ac:dyDescent="0.25">
      <c r="A901" s="2" t="s">
        <v>5575</v>
      </c>
      <c r="B901" s="8">
        <v>44523</v>
      </c>
      <c r="C901" s="2" t="s">
        <v>5554</v>
      </c>
      <c r="D901" t="s">
        <v>6162</v>
      </c>
      <c r="E901" s="2">
        <v>5</v>
      </c>
      <c r="F901" s="2" t="str">
        <f>_xlfn.XLOOKUP(orders!C901,customers!$A$1:$A$1001,customers!$B$1:$B$1001,,0)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9">
        <f>INDEX(products!$A$1:$G$49,MATCH(orders!$D901,products!$A$1:$A$49,0),MATCH(orders!K$1,products!$A$1:$G$1,0))</f>
        <v>1</v>
      </c>
      <c r="L901" s="10">
        <f>INDEX(products!$A$1:$G$49,MATCH(orders!$D901,products!$A$1:$A$49,0),MATCH(orders!L$1,products!$A$1:$G$1,0))</f>
        <v>14.55</v>
      </c>
      <c r="M901" s="10">
        <f t="shared" si="42"/>
        <v>72.75</v>
      </c>
      <c r="N901" t="str">
        <f t="shared" si="43"/>
        <v>Liberica</v>
      </c>
      <c r="O901" t="str">
        <f t="shared" si="44"/>
        <v>Medium</v>
      </c>
      <c r="P901" t="str">
        <f>_xlfn.XLOOKUP(Table1[[#This Row],[Customer ID]],customers!$A$1:$A$1001,customers!$I$1:$I$1001,,0)</f>
        <v>No</v>
      </c>
    </row>
    <row r="902" spans="1:16" x14ac:dyDescent="0.25">
      <c r="A902" s="2" t="s">
        <v>5580</v>
      </c>
      <c r="B902" s="8">
        <v>44584</v>
      </c>
      <c r="C902" s="2" t="s">
        <v>5581</v>
      </c>
      <c r="D902" t="s">
        <v>6170</v>
      </c>
      <c r="E902" s="2">
        <v>3</v>
      </c>
      <c r="F902" s="2" t="str">
        <f>_xlfn.XLOOKUP(orders!C902,customers!$A$1:$A$1001,customers!$B$1:$B$1001,,0)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9">
        <f>INDEX(products!$A$1:$G$49,MATCH(orders!$D902,products!$A$1:$A$49,0),MATCH(orders!K$1,products!$A$1:$G$1,0))</f>
        <v>1</v>
      </c>
      <c r="L902" s="10">
        <f>INDEX(products!$A$1:$G$49,MATCH(orders!$D902,products!$A$1:$A$49,0),MATCH(orders!L$1,products!$A$1:$G$1,0))</f>
        <v>15.85</v>
      </c>
      <c r="M902" s="10">
        <f t="shared" si="42"/>
        <v>47.55</v>
      </c>
      <c r="N902" t="str">
        <f t="shared" si="43"/>
        <v>Liberica</v>
      </c>
      <c r="O902" t="str">
        <f t="shared" si="44"/>
        <v>Light</v>
      </c>
      <c r="P902" t="str">
        <f>_xlfn.XLOOKUP(Table1[[#This Row],[Customer ID]],customers!$A$1:$A$1001,customers!$I$1:$I$1001,,0)</f>
        <v>No</v>
      </c>
    </row>
    <row r="903" spans="1:16" x14ac:dyDescent="0.25">
      <c r="A903" s="2" t="s">
        <v>5585</v>
      </c>
      <c r="B903" s="8">
        <v>44223</v>
      </c>
      <c r="C903" s="2" t="s">
        <v>5586</v>
      </c>
      <c r="D903" t="s">
        <v>6178</v>
      </c>
      <c r="E903" s="2">
        <v>1</v>
      </c>
      <c r="F903" s="2" t="str">
        <f>_xlfn.XLOOKUP(orders!C903,customers!$A$1:$A$1001,customers!$B$1:$B$1001,,0)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9">
        <f>INDEX(products!$A$1:$G$49,MATCH(orders!$D903,products!$A$1:$A$49,0),MATCH(orders!K$1,products!$A$1:$G$1,0))</f>
        <v>0.2</v>
      </c>
      <c r="L903" s="10">
        <f>INDEX(products!$A$1:$G$49,MATCH(orders!$D903,products!$A$1:$A$49,0),MATCH(orders!L$1,products!$A$1:$G$1,0))</f>
        <v>3.5849999999999995</v>
      </c>
      <c r="M903" s="10">
        <f t="shared" si="42"/>
        <v>3.5849999999999995</v>
      </c>
      <c r="N903" t="str">
        <f t="shared" si="43"/>
        <v>Robusta</v>
      </c>
      <c r="O903" t="str">
        <f t="shared" si="44"/>
        <v>Light</v>
      </c>
      <c r="P903" t="str">
        <f>_xlfn.XLOOKUP(Table1[[#This Row],[Customer ID]],customers!$A$1:$A$1001,customers!$I$1:$I$1001,,0)</f>
        <v>Yes</v>
      </c>
    </row>
    <row r="904" spans="1:16" x14ac:dyDescent="0.25">
      <c r="A904" s="2" t="s">
        <v>5591</v>
      </c>
      <c r="B904" s="8">
        <v>43640</v>
      </c>
      <c r="C904" s="2" t="s">
        <v>5592</v>
      </c>
      <c r="D904" t="s">
        <v>6166</v>
      </c>
      <c r="E904" s="2">
        <v>5</v>
      </c>
      <c r="F904" s="2" t="str">
        <f>_xlfn.XLOOKUP(orders!C904,customers!$A$1:$A$1001,customers!$B$1:$B$1001,,0)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9">
        <f>INDEX(products!$A$1:$G$49,MATCH(orders!$D904,products!$A$1:$A$49,0),MATCH(orders!K$1,products!$A$1:$G$1,0))</f>
        <v>2.5</v>
      </c>
      <c r="L904" s="10">
        <f>INDEX(products!$A$1:$G$49,MATCH(orders!$D904,products!$A$1:$A$49,0),MATCH(orders!L$1,products!$A$1:$G$1,0))</f>
        <v>31.624999999999996</v>
      </c>
      <c r="M904" s="10">
        <f t="shared" si="42"/>
        <v>158.12499999999997</v>
      </c>
      <c r="N904" t="str">
        <f t="shared" si="43"/>
        <v>Excelsa</v>
      </c>
      <c r="O904" t="str">
        <f t="shared" si="44"/>
        <v>Medium</v>
      </c>
      <c r="P904" t="str">
        <f>_xlfn.XLOOKUP(Table1[[#This Row],[Customer ID]],customers!$A$1:$A$1001,customers!$I$1:$I$1001,,0)</f>
        <v>No</v>
      </c>
    </row>
    <row r="905" spans="1:16" x14ac:dyDescent="0.25">
      <c r="A905" s="2" t="s">
        <v>5597</v>
      </c>
      <c r="B905" s="8">
        <v>43905</v>
      </c>
      <c r="C905" s="2" t="s">
        <v>5598</v>
      </c>
      <c r="D905" t="s">
        <v>6160</v>
      </c>
      <c r="E905" s="2">
        <v>2</v>
      </c>
      <c r="F905" s="2" t="str">
        <f>_xlfn.XLOOKUP(orders!C905,customers!$A$1:$A$1001,customers!$B$1:$B$1001,,0)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9">
        <f>INDEX(products!$A$1:$G$49,MATCH(orders!$D905,products!$A$1:$A$49,0),MATCH(orders!K$1,products!$A$1:$G$1,0))</f>
        <v>0.5</v>
      </c>
      <c r="L905" s="10">
        <f>INDEX(products!$A$1:$G$49,MATCH(orders!$D905,products!$A$1:$A$49,0),MATCH(orders!L$1,products!$A$1:$G$1,0))</f>
        <v>8.73</v>
      </c>
      <c r="M905" s="10">
        <f t="shared" si="42"/>
        <v>17.46</v>
      </c>
      <c r="N905" t="str">
        <f t="shared" si="43"/>
        <v>Liberica</v>
      </c>
      <c r="O905" t="str">
        <f t="shared" si="44"/>
        <v>Medium</v>
      </c>
      <c r="P905" t="str">
        <f>_xlfn.XLOOKUP(Table1[[#This Row],[Customer ID]],customers!$A$1:$A$1001,customers!$I$1:$I$1001,,0)</f>
        <v>No</v>
      </c>
    </row>
    <row r="906" spans="1:16" x14ac:dyDescent="0.25">
      <c r="A906" s="2" t="s">
        <v>5603</v>
      </c>
      <c r="B906" s="8">
        <v>44463</v>
      </c>
      <c r="C906" s="2" t="s">
        <v>5604</v>
      </c>
      <c r="D906" t="s">
        <v>6182</v>
      </c>
      <c r="E906" s="2">
        <v>5</v>
      </c>
      <c r="F906" s="2" t="str">
        <f>_xlfn.XLOOKUP(orders!C906,customers!$A$1:$A$1001,customers!$B$1:$B$1001,,0)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9">
        <f>INDEX(products!$A$1:$G$49,MATCH(orders!$D906,products!$A$1:$A$49,0),MATCH(orders!K$1,products!$A$1:$G$1,0))</f>
        <v>2.5</v>
      </c>
      <c r="L906" s="10">
        <f>INDEX(products!$A$1:$G$49,MATCH(orders!$D906,products!$A$1:$A$49,0),MATCH(orders!L$1,products!$A$1:$G$1,0))</f>
        <v>29.784999999999997</v>
      </c>
      <c r="M906" s="10">
        <f t="shared" si="42"/>
        <v>148.92499999999998</v>
      </c>
      <c r="N906" t="str">
        <f t="shared" si="43"/>
        <v>Arabica</v>
      </c>
      <c r="O906" t="str">
        <f t="shared" si="44"/>
        <v>Light</v>
      </c>
      <c r="P906" t="str">
        <f>_xlfn.XLOOKUP(Table1[[#This Row],[Customer ID]],customers!$A$1:$A$1001,customers!$I$1:$I$1001,,0)</f>
        <v>No</v>
      </c>
    </row>
    <row r="907" spans="1:16" x14ac:dyDescent="0.25">
      <c r="A907" s="2" t="s">
        <v>5609</v>
      </c>
      <c r="B907" s="8">
        <v>43560</v>
      </c>
      <c r="C907" s="2" t="s">
        <v>5610</v>
      </c>
      <c r="D907" t="s">
        <v>6157</v>
      </c>
      <c r="E907" s="2">
        <v>6</v>
      </c>
      <c r="F907" s="2" t="str">
        <f>_xlfn.XLOOKUP(orders!C907,customers!$A$1:$A$1001,customers!$B$1:$B$1001,,0)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9">
        <f>INDEX(products!$A$1:$G$49,MATCH(orders!$D907,products!$A$1:$A$49,0),MATCH(orders!K$1,products!$A$1:$G$1,0))</f>
        <v>0.5</v>
      </c>
      <c r="L907" s="10">
        <f>INDEX(products!$A$1:$G$49,MATCH(orders!$D907,products!$A$1:$A$49,0),MATCH(orders!L$1,products!$A$1:$G$1,0))</f>
        <v>6.75</v>
      </c>
      <c r="M907" s="10">
        <f t="shared" si="42"/>
        <v>40.5</v>
      </c>
      <c r="N907" t="str">
        <f t="shared" si="43"/>
        <v>Arabica</v>
      </c>
      <c r="O907" t="str">
        <f t="shared" si="44"/>
        <v>Medium</v>
      </c>
      <c r="P907" t="str">
        <f>_xlfn.XLOOKUP(Table1[[#This Row],[Customer ID]],customers!$A$1:$A$1001,customers!$I$1:$I$1001,,0)</f>
        <v>Yes</v>
      </c>
    </row>
    <row r="908" spans="1:16" x14ac:dyDescent="0.25">
      <c r="A908" s="2" t="s">
        <v>5614</v>
      </c>
      <c r="B908" s="8">
        <v>44588</v>
      </c>
      <c r="C908" s="2" t="s">
        <v>5615</v>
      </c>
      <c r="D908" t="s">
        <v>6157</v>
      </c>
      <c r="E908" s="2">
        <v>4</v>
      </c>
      <c r="F908" s="2" t="str">
        <f>_xlfn.XLOOKUP(orders!C908,customers!$A$1:$A$1001,customers!$B$1:$B$1001,,0)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9">
        <f>INDEX(products!$A$1:$G$49,MATCH(orders!$D908,products!$A$1:$A$49,0),MATCH(orders!K$1,products!$A$1:$G$1,0))</f>
        <v>0.5</v>
      </c>
      <c r="L908" s="10">
        <f>INDEX(products!$A$1:$G$49,MATCH(orders!$D908,products!$A$1:$A$49,0),MATCH(orders!L$1,products!$A$1:$G$1,0))</f>
        <v>6.75</v>
      </c>
      <c r="M908" s="10">
        <f t="shared" si="42"/>
        <v>27</v>
      </c>
      <c r="N908" t="str">
        <f t="shared" si="43"/>
        <v>Arabica</v>
      </c>
      <c r="O908" t="str">
        <f t="shared" si="44"/>
        <v>Medium</v>
      </c>
      <c r="P908" t="str">
        <f>_xlfn.XLOOKUP(Table1[[#This Row],[Customer ID]],customers!$A$1:$A$1001,customers!$I$1:$I$1001,,0)</f>
        <v>Yes</v>
      </c>
    </row>
    <row r="909" spans="1:16" x14ac:dyDescent="0.25">
      <c r="A909" s="2" t="s">
        <v>5620</v>
      </c>
      <c r="B909" s="8">
        <v>44449</v>
      </c>
      <c r="C909" s="2" t="s">
        <v>5621</v>
      </c>
      <c r="D909" t="s">
        <v>6143</v>
      </c>
      <c r="E909" s="2">
        <v>3</v>
      </c>
      <c r="F909" s="2" t="str">
        <f>_xlfn.XLOOKUP(orders!C909,customers!$A$1:$A$1001,customers!$B$1:$B$1001,,0)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9">
        <f>INDEX(products!$A$1:$G$49,MATCH(orders!$D909,products!$A$1:$A$49,0),MATCH(orders!K$1,products!$A$1:$G$1,0))</f>
        <v>1</v>
      </c>
      <c r="L909" s="10">
        <f>INDEX(products!$A$1:$G$49,MATCH(orders!$D909,products!$A$1:$A$49,0),MATCH(orders!L$1,products!$A$1:$G$1,0))</f>
        <v>12.95</v>
      </c>
      <c r="M909" s="10">
        <f t="shared" si="42"/>
        <v>38.849999999999994</v>
      </c>
      <c r="N909" t="str">
        <f t="shared" si="43"/>
        <v>Liberica</v>
      </c>
      <c r="O909" t="str">
        <f t="shared" si="44"/>
        <v>Dark</v>
      </c>
      <c r="P909" t="str">
        <f>_xlfn.XLOOKUP(Table1[[#This Row],[Customer ID]],customers!$A$1:$A$1001,customers!$I$1:$I$1001,,0)</f>
        <v>No</v>
      </c>
    </row>
    <row r="910" spans="1:16" x14ac:dyDescent="0.25">
      <c r="A910" s="2" t="s">
        <v>5626</v>
      </c>
      <c r="B910" s="8">
        <v>43836</v>
      </c>
      <c r="C910" s="2" t="s">
        <v>5627</v>
      </c>
      <c r="D910" t="s">
        <v>6179</v>
      </c>
      <c r="E910" s="2">
        <v>5</v>
      </c>
      <c r="F910" s="2" t="str">
        <f>_xlfn.XLOOKUP(orders!C910,customers!$A$1:$A$1001,customers!$B$1:$B$1001,,0)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9">
        <f>INDEX(products!$A$1:$G$49,MATCH(orders!$D910,products!$A$1:$A$49,0),MATCH(orders!K$1,products!$A$1:$G$1,0))</f>
        <v>1</v>
      </c>
      <c r="L910" s="10">
        <f>INDEX(products!$A$1:$G$49,MATCH(orders!$D910,products!$A$1:$A$49,0),MATCH(orders!L$1,products!$A$1:$G$1,0))</f>
        <v>11.95</v>
      </c>
      <c r="M910" s="10">
        <f t="shared" si="42"/>
        <v>59.75</v>
      </c>
      <c r="N910" t="str">
        <f t="shared" si="43"/>
        <v>Robusta</v>
      </c>
      <c r="O910" t="str">
        <f t="shared" si="44"/>
        <v>Light</v>
      </c>
      <c r="P910" t="str">
        <f>_xlfn.XLOOKUP(Table1[[#This Row],[Customer ID]],customers!$A$1:$A$1001,customers!$I$1:$I$1001,,0)</f>
        <v>No</v>
      </c>
    </row>
    <row r="911" spans="1:16" x14ac:dyDescent="0.25">
      <c r="A911" s="2" t="s">
        <v>5632</v>
      </c>
      <c r="B911" s="8">
        <v>44635</v>
      </c>
      <c r="C911" s="2" t="s">
        <v>5633</v>
      </c>
      <c r="D911" t="s">
        <v>6178</v>
      </c>
      <c r="E911" s="2">
        <v>3</v>
      </c>
      <c r="F911" s="2" t="str">
        <f>_xlfn.XLOOKUP(orders!C911,customers!$A$1:$A$1001,customers!$B$1:$B$1001,,0)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9">
        <f>INDEX(products!$A$1:$G$49,MATCH(orders!$D911,products!$A$1:$A$49,0),MATCH(orders!K$1,products!$A$1:$G$1,0))</f>
        <v>0.2</v>
      </c>
      <c r="L911" s="10">
        <f>INDEX(products!$A$1:$G$49,MATCH(orders!$D911,products!$A$1:$A$49,0),MATCH(orders!L$1,products!$A$1:$G$1,0))</f>
        <v>3.5849999999999995</v>
      </c>
      <c r="M911" s="10">
        <f t="shared" si="42"/>
        <v>10.754999999999999</v>
      </c>
      <c r="N911" t="str">
        <f t="shared" si="43"/>
        <v>Robusta</v>
      </c>
      <c r="O911" t="str">
        <f t="shared" si="44"/>
        <v>Light</v>
      </c>
      <c r="P911" t="str">
        <f>_xlfn.XLOOKUP(Table1[[#This Row],[Customer ID]],customers!$A$1:$A$1001,customers!$I$1:$I$1001,,0)</f>
        <v>No</v>
      </c>
    </row>
    <row r="912" spans="1:16" x14ac:dyDescent="0.25">
      <c r="A912" s="2" t="s">
        <v>5637</v>
      </c>
      <c r="B912" s="8">
        <v>44447</v>
      </c>
      <c r="C912" s="2" t="s">
        <v>5638</v>
      </c>
      <c r="D912" t="s">
        <v>6168</v>
      </c>
      <c r="E912" s="2">
        <v>4</v>
      </c>
      <c r="F912" s="2" t="str">
        <f>_xlfn.XLOOKUP(orders!C912,customers!$A$1:$A$1001,customers!$B$1:$B$1001,,0)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9">
        <f>INDEX(products!$A$1:$G$49,MATCH(orders!$D912,products!$A$1:$A$49,0),MATCH(orders!K$1,products!$A$1:$G$1,0))</f>
        <v>2.5</v>
      </c>
      <c r="L912" s="10">
        <f>INDEX(products!$A$1:$G$49,MATCH(orders!$D912,products!$A$1:$A$49,0),MATCH(orders!L$1,products!$A$1:$G$1,0))</f>
        <v>22.884999999999998</v>
      </c>
      <c r="M912" s="10">
        <f t="shared" si="42"/>
        <v>91.539999999999992</v>
      </c>
      <c r="N912" t="str">
        <f t="shared" si="43"/>
        <v>Arabica</v>
      </c>
      <c r="O912" t="str">
        <f t="shared" si="44"/>
        <v>Dark</v>
      </c>
      <c r="P912" t="str">
        <f>_xlfn.XLOOKUP(Table1[[#This Row],[Customer ID]],customers!$A$1:$A$1001,customers!$I$1:$I$1001,,0)</f>
        <v>No</v>
      </c>
    </row>
    <row r="913" spans="1:16" x14ac:dyDescent="0.25">
      <c r="A913" s="2" t="s">
        <v>5643</v>
      </c>
      <c r="B913" s="8">
        <v>44511</v>
      </c>
      <c r="C913" s="2" t="s">
        <v>5644</v>
      </c>
      <c r="D913" t="s">
        <v>6155</v>
      </c>
      <c r="E913" s="2">
        <v>4</v>
      </c>
      <c r="F913" s="2" t="str">
        <f>_xlfn.XLOOKUP(orders!C913,customers!$A$1:$A$1001,customers!$B$1:$B$1001,,0)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9">
        <f>INDEX(products!$A$1:$G$49,MATCH(orders!$D913,products!$A$1:$A$49,0),MATCH(orders!K$1,products!$A$1:$G$1,0))</f>
        <v>1</v>
      </c>
      <c r="L913" s="10">
        <f>INDEX(products!$A$1:$G$49,MATCH(orders!$D913,products!$A$1:$A$49,0),MATCH(orders!L$1,products!$A$1:$G$1,0))</f>
        <v>11.25</v>
      </c>
      <c r="M913" s="10">
        <f t="shared" si="42"/>
        <v>45</v>
      </c>
      <c r="N913" t="str">
        <f t="shared" si="43"/>
        <v>Arabica</v>
      </c>
      <c r="O913" t="str">
        <f t="shared" si="44"/>
        <v>Medium</v>
      </c>
      <c r="P913" t="str">
        <f>_xlfn.XLOOKUP(Table1[[#This Row],[Customer ID]],customers!$A$1:$A$1001,customers!$I$1:$I$1001,,0)</f>
        <v>Yes</v>
      </c>
    </row>
    <row r="914" spans="1:16" x14ac:dyDescent="0.25">
      <c r="A914" s="2" t="s">
        <v>5649</v>
      </c>
      <c r="B914" s="8">
        <v>43726</v>
      </c>
      <c r="C914" s="2" t="s">
        <v>5650</v>
      </c>
      <c r="D914" t="s">
        <v>6151</v>
      </c>
      <c r="E914" s="2">
        <v>6</v>
      </c>
      <c r="F914" s="2" t="str">
        <f>_xlfn.XLOOKUP(orders!C914,customers!$A$1:$A$1001,customers!$B$1:$B$1001,,0)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9">
        <f>INDEX(products!$A$1:$G$49,MATCH(orders!$D914,products!$A$1:$A$49,0),MATCH(orders!K$1,products!$A$1:$G$1,0))</f>
        <v>2.5</v>
      </c>
      <c r="L914" s="10">
        <f>INDEX(products!$A$1:$G$49,MATCH(orders!$D914,products!$A$1:$A$49,0),MATCH(orders!L$1,products!$A$1:$G$1,0))</f>
        <v>22.884999999999998</v>
      </c>
      <c r="M914" s="10">
        <f t="shared" si="42"/>
        <v>137.31</v>
      </c>
      <c r="N914" t="str">
        <f t="shared" si="43"/>
        <v>Robusta</v>
      </c>
      <c r="O914" t="str">
        <f t="shared" si="44"/>
        <v>Medium</v>
      </c>
      <c r="P914" t="str">
        <f>_xlfn.XLOOKUP(Table1[[#This Row],[Customer ID]],customers!$A$1:$A$1001,customers!$I$1:$I$1001,,0)</f>
        <v>Yes</v>
      </c>
    </row>
    <row r="915" spans="1:16" x14ac:dyDescent="0.25">
      <c r="A915" s="2" t="s">
        <v>5654</v>
      </c>
      <c r="B915" s="8">
        <v>44406</v>
      </c>
      <c r="C915" s="2" t="s">
        <v>5655</v>
      </c>
      <c r="D915" t="s">
        <v>6157</v>
      </c>
      <c r="E915" s="2">
        <v>1</v>
      </c>
      <c r="F915" s="2" t="str">
        <f>_xlfn.XLOOKUP(orders!C915,customers!$A$1:$A$1001,customers!$B$1:$B$1001,,0)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9">
        <f>INDEX(products!$A$1:$G$49,MATCH(orders!$D915,products!$A$1:$A$49,0),MATCH(orders!K$1,products!$A$1:$G$1,0))</f>
        <v>0.5</v>
      </c>
      <c r="L915" s="10">
        <f>INDEX(products!$A$1:$G$49,MATCH(orders!$D915,products!$A$1:$A$49,0),MATCH(orders!L$1,products!$A$1:$G$1,0))</f>
        <v>6.75</v>
      </c>
      <c r="M915" s="10">
        <f t="shared" si="42"/>
        <v>6.75</v>
      </c>
      <c r="N915" t="str">
        <f t="shared" si="43"/>
        <v>Arabica</v>
      </c>
      <c r="O915" t="str">
        <f t="shared" si="44"/>
        <v>Medium</v>
      </c>
      <c r="P915" t="str">
        <f>_xlfn.XLOOKUP(Table1[[#This Row],[Customer ID]],customers!$A$1:$A$1001,customers!$I$1:$I$1001,,0)</f>
        <v>No</v>
      </c>
    </row>
    <row r="916" spans="1:16" x14ac:dyDescent="0.25">
      <c r="A916" s="2" t="s">
        <v>5660</v>
      </c>
      <c r="B916" s="8">
        <v>44640</v>
      </c>
      <c r="C916" s="2" t="s">
        <v>5661</v>
      </c>
      <c r="D916" t="s">
        <v>6155</v>
      </c>
      <c r="E916" s="2">
        <v>4</v>
      </c>
      <c r="F916" s="2" t="str">
        <f>_xlfn.XLOOKUP(orders!C916,customers!$A$1:$A$1001,customers!$B$1:$B$1001,,0)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9">
        <f>INDEX(products!$A$1:$G$49,MATCH(orders!$D916,products!$A$1:$A$49,0),MATCH(orders!K$1,products!$A$1:$G$1,0))</f>
        <v>1</v>
      </c>
      <c r="L916" s="10">
        <f>INDEX(products!$A$1:$G$49,MATCH(orders!$D916,products!$A$1:$A$49,0),MATCH(orders!L$1,products!$A$1:$G$1,0))</f>
        <v>11.25</v>
      </c>
      <c r="M916" s="10">
        <f t="shared" si="42"/>
        <v>45</v>
      </c>
      <c r="N916" t="str">
        <f t="shared" si="43"/>
        <v>Arabica</v>
      </c>
      <c r="O916" t="str">
        <f t="shared" si="44"/>
        <v>Medium</v>
      </c>
      <c r="P916" t="str">
        <f>_xlfn.XLOOKUP(Table1[[#This Row],[Customer ID]],customers!$A$1:$A$1001,customers!$I$1:$I$1001,,0)</f>
        <v>No</v>
      </c>
    </row>
    <row r="917" spans="1:16" x14ac:dyDescent="0.25">
      <c r="A917" s="2" t="s">
        <v>5666</v>
      </c>
      <c r="B917" s="8">
        <v>43955</v>
      </c>
      <c r="C917" s="2" t="s">
        <v>5667</v>
      </c>
      <c r="D917" t="s">
        <v>6185</v>
      </c>
      <c r="E917" s="2">
        <v>3</v>
      </c>
      <c r="F917" s="2" t="str">
        <f>_xlfn.XLOOKUP(orders!C917,customers!$A$1:$A$1001,customers!$B$1:$B$1001,,0)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9">
        <f>INDEX(products!$A$1:$G$49,MATCH(orders!$D917,products!$A$1:$A$49,0),MATCH(orders!K$1,products!$A$1:$G$1,0))</f>
        <v>2.5</v>
      </c>
      <c r="L917" s="10">
        <f>INDEX(products!$A$1:$G$49,MATCH(orders!$D917,products!$A$1:$A$49,0),MATCH(orders!L$1,products!$A$1:$G$1,0))</f>
        <v>27.945</v>
      </c>
      <c r="M917" s="10">
        <f t="shared" si="42"/>
        <v>83.835000000000008</v>
      </c>
      <c r="N917" t="str">
        <f t="shared" si="43"/>
        <v>Excelsa</v>
      </c>
      <c r="O917" t="str">
        <f t="shared" si="44"/>
        <v>Dark</v>
      </c>
      <c r="P917" t="str">
        <f>_xlfn.XLOOKUP(Table1[[#This Row],[Customer ID]],customers!$A$1:$A$1001,customers!$I$1:$I$1001,,0)</f>
        <v>Yes</v>
      </c>
    </row>
    <row r="918" spans="1:16" x14ac:dyDescent="0.25">
      <c r="A918" s="2" t="s">
        <v>5672</v>
      </c>
      <c r="B918" s="8">
        <v>44291</v>
      </c>
      <c r="C918" s="2" t="s">
        <v>5673</v>
      </c>
      <c r="D918" t="s">
        <v>6153</v>
      </c>
      <c r="E918" s="2">
        <v>1</v>
      </c>
      <c r="F918" s="2" t="str">
        <f>_xlfn.XLOOKUP(orders!C918,customers!$A$1:$A$1001,customers!$B$1:$B$1001,,0)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9">
        <f>INDEX(products!$A$1:$G$49,MATCH(orders!$D918,products!$A$1:$A$49,0),MATCH(orders!K$1,products!$A$1:$G$1,0))</f>
        <v>0.2</v>
      </c>
      <c r="L918" s="10">
        <f>INDEX(products!$A$1:$G$49,MATCH(orders!$D918,products!$A$1:$A$49,0),MATCH(orders!L$1,products!$A$1:$G$1,0))</f>
        <v>3.645</v>
      </c>
      <c r="M918" s="10">
        <f t="shared" si="42"/>
        <v>3.645</v>
      </c>
      <c r="N918" t="str">
        <f t="shared" si="43"/>
        <v>Excelsa</v>
      </c>
      <c r="O918" t="str">
        <f t="shared" si="44"/>
        <v>Dark</v>
      </c>
      <c r="P918" t="str">
        <f>_xlfn.XLOOKUP(Table1[[#This Row],[Customer ID]],customers!$A$1:$A$1001,customers!$I$1:$I$1001,,0)</f>
        <v>Yes</v>
      </c>
    </row>
    <row r="919" spans="1:16" x14ac:dyDescent="0.25">
      <c r="A919" s="2" t="s">
        <v>5676</v>
      </c>
      <c r="B919" s="8">
        <v>44573</v>
      </c>
      <c r="C919" s="2" t="s">
        <v>5677</v>
      </c>
      <c r="D919" t="s">
        <v>6157</v>
      </c>
      <c r="E919" s="2">
        <v>1</v>
      </c>
      <c r="F919" s="2" t="str">
        <f>_xlfn.XLOOKUP(orders!C919,customers!$A$1:$A$1001,customers!$B$1:$B$1001,,0)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9">
        <f>INDEX(products!$A$1:$G$49,MATCH(orders!$D919,products!$A$1:$A$49,0),MATCH(orders!K$1,products!$A$1:$G$1,0))</f>
        <v>0.5</v>
      </c>
      <c r="L919" s="10">
        <f>INDEX(products!$A$1:$G$49,MATCH(orders!$D919,products!$A$1:$A$49,0),MATCH(orders!L$1,products!$A$1:$G$1,0))</f>
        <v>6.75</v>
      </c>
      <c r="M919" s="10">
        <f t="shared" si="42"/>
        <v>6.75</v>
      </c>
      <c r="N919" t="str">
        <f t="shared" si="43"/>
        <v>Arabica</v>
      </c>
      <c r="O919" t="str">
        <f t="shared" si="44"/>
        <v>Medium</v>
      </c>
      <c r="P919" t="str">
        <f>_xlfn.XLOOKUP(Table1[[#This Row],[Customer ID]],customers!$A$1:$A$1001,customers!$I$1:$I$1001,,0)</f>
        <v>No</v>
      </c>
    </row>
    <row r="920" spans="1:16" x14ac:dyDescent="0.25">
      <c r="A920" s="2" t="s">
        <v>5676</v>
      </c>
      <c r="B920" s="8">
        <v>44573</v>
      </c>
      <c r="C920" s="2" t="s">
        <v>5677</v>
      </c>
      <c r="D920" t="s">
        <v>6144</v>
      </c>
      <c r="E920" s="2">
        <v>3</v>
      </c>
      <c r="F920" s="2" t="str">
        <f>_xlfn.XLOOKUP(orders!C920,customers!$A$1:$A$1001,customers!$B$1:$B$1001,,0)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9">
        <f>INDEX(products!$A$1:$G$49,MATCH(orders!$D920,products!$A$1:$A$49,0),MATCH(orders!K$1,products!$A$1:$G$1,0))</f>
        <v>0.5</v>
      </c>
      <c r="L920" s="10">
        <f>INDEX(products!$A$1:$G$49,MATCH(orders!$D920,products!$A$1:$A$49,0),MATCH(orders!L$1,products!$A$1:$G$1,0))</f>
        <v>7.29</v>
      </c>
      <c r="M920" s="10">
        <f t="shared" si="42"/>
        <v>21.87</v>
      </c>
      <c r="N920" t="str">
        <f t="shared" si="43"/>
        <v>Excelsa</v>
      </c>
      <c r="O920" t="str">
        <f t="shared" si="44"/>
        <v>Dark</v>
      </c>
      <c r="P920" t="str">
        <f>_xlfn.XLOOKUP(Table1[[#This Row],[Customer ID]],customers!$A$1:$A$1001,customers!$I$1:$I$1001,,0)</f>
        <v>No</v>
      </c>
    </row>
    <row r="921" spans="1:16" x14ac:dyDescent="0.25">
      <c r="A921" s="2" t="s">
        <v>5687</v>
      </c>
      <c r="B921" s="8">
        <v>44181</v>
      </c>
      <c r="C921" s="2" t="s">
        <v>5688</v>
      </c>
      <c r="D921" t="s">
        <v>6163</v>
      </c>
      <c r="E921" s="2">
        <v>5</v>
      </c>
      <c r="F921" s="2" t="str">
        <f>_xlfn.XLOOKUP(orders!C921,customers!$A$1:$A$1001,customers!$B$1:$B$1001,,0)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9">
        <f>INDEX(products!$A$1:$G$49,MATCH(orders!$D921,products!$A$1:$A$49,0),MATCH(orders!K$1,products!$A$1:$G$1,0))</f>
        <v>0.2</v>
      </c>
      <c r="L921" s="10">
        <f>INDEX(products!$A$1:$G$49,MATCH(orders!$D921,products!$A$1:$A$49,0),MATCH(orders!L$1,products!$A$1:$G$1,0))</f>
        <v>2.6849999999999996</v>
      </c>
      <c r="M921" s="10">
        <f t="shared" si="42"/>
        <v>13.424999999999997</v>
      </c>
      <c r="N921" t="str">
        <f t="shared" si="43"/>
        <v>Robusta</v>
      </c>
      <c r="O921" t="str">
        <f t="shared" si="44"/>
        <v>Dark</v>
      </c>
      <c r="P921" t="str">
        <f>_xlfn.XLOOKUP(Table1[[#This Row],[Customer ID]],customers!$A$1:$A$1001,customers!$I$1:$I$1001,,0)</f>
        <v>Yes</v>
      </c>
    </row>
    <row r="922" spans="1:16" x14ac:dyDescent="0.25">
      <c r="A922" s="2" t="s">
        <v>5693</v>
      </c>
      <c r="B922" s="8">
        <v>44711</v>
      </c>
      <c r="C922" s="2" t="s">
        <v>5694</v>
      </c>
      <c r="D922" t="s">
        <v>6149</v>
      </c>
      <c r="E922" s="2">
        <v>6</v>
      </c>
      <c r="F922" s="2" t="str">
        <f>_xlfn.XLOOKUP(orders!C922,customers!$A$1:$A$1001,customers!$B$1:$B$1001,,0)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9">
        <f>INDEX(products!$A$1:$G$49,MATCH(orders!$D922,products!$A$1:$A$49,0),MATCH(orders!K$1,products!$A$1:$G$1,0))</f>
        <v>2.5</v>
      </c>
      <c r="L922" s="10">
        <f>INDEX(products!$A$1:$G$49,MATCH(orders!$D922,products!$A$1:$A$49,0),MATCH(orders!L$1,products!$A$1:$G$1,0))</f>
        <v>20.584999999999997</v>
      </c>
      <c r="M922" s="10">
        <f t="shared" si="42"/>
        <v>123.50999999999999</v>
      </c>
      <c r="N922" t="str">
        <f t="shared" si="43"/>
        <v>Robusta</v>
      </c>
      <c r="O922" t="str">
        <f t="shared" si="44"/>
        <v>Dark</v>
      </c>
      <c r="P922" t="str">
        <f>_xlfn.XLOOKUP(Table1[[#This Row],[Customer ID]],customers!$A$1:$A$1001,customers!$I$1:$I$1001,,0)</f>
        <v>No</v>
      </c>
    </row>
    <row r="923" spans="1:16" x14ac:dyDescent="0.25">
      <c r="A923" s="2" t="s">
        <v>5699</v>
      </c>
      <c r="B923" s="8">
        <v>44509</v>
      </c>
      <c r="C923" s="2" t="s">
        <v>5700</v>
      </c>
      <c r="D923" t="s">
        <v>6150</v>
      </c>
      <c r="E923" s="2">
        <v>2</v>
      </c>
      <c r="F923" s="2" t="str">
        <f>_xlfn.XLOOKUP(orders!C923,customers!$A$1:$A$1001,customers!$B$1:$B$1001,,0)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9">
        <f>INDEX(products!$A$1:$G$49,MATCH(orders!$D923,products!$A$1:$A$49,0),MATCH(orders!K$1,products!$A$1:$G$1,0))</f>
        <v>0.2</v>
      </c>
      <c r="L923" s="10">
        <f>INDEX(products!$A$1:$G$49,MATCH(orders!$D923,products!$A$1:$A$49,0),MATCH(orders!L$1,products!$A$1:$G$1,0))</f>
        <v>3.8849999999999998</v>
      </c>
      <c r="M923" s="10">
        <f t="shared" si="42"/>
        <v>7.77</v>
      </c>
      <c r="N923" t="str">
        <f t="shared" si="43"/>
        <v>Liberica</v>
      </c>
      <c r="O923" t="str">
        <f t="shared" si="44"/>
        <v>Dark</v>
      </c>
      <c r="P923" t="str">
        <f>_xlfn.XLOOKUP(Table1[[#This Row],[Customer ID]],customers!$A$1:$A$1001,customers!$I$1:$I$1001,,0)</f>
        <v>No</v>
      </c>
    </row>
    <row r="924" spans="1:16" x14ac:dyDescent="0.25">
      <c r="A924" s="2" t="s">
        <v>5705</v>
      </c>
      <c r="B924" s="8">
        <v>44659</v>
      </c>
      <c r="C924" s="2" t="s">
        <v>5706</v>
      </c>
      <c r="D924" t="s">
        <v>6155</v>
      </c>
      <c r="E924" s="2">
        <v>6</v>
      </c>
      <c r="F924" s="2" t="str">
        <f>_xlfn.XLOOKUP(orders!C924,customers!$A$1:$A$1001,customers!$B$1:$B$1001,,0)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9">
        <f>INDEX(products!$A$1:$G$49,MATCH(orders!$D924,products!$A$1:$A$49,0),MATCH(orders!K$1,products!$A$1:$G$1,0))</f>
        <v>1</v>
      </c>
      <c r="L924" s="10">
        <f>INDEX(products!$A$1:$G$49,MATCH(orders!$D924,products!$A$1:$A$49,0),MATCH(orders!L$1,products!$A$1:$G$1,0))</f>
        <v>11.25</v>
      </c>
      <c r="M924" s="10">
        <f t="shared" si="42"/>
        <v>67.5</v>
      </c>
      <c r="N924" t="str">
        <f t="shared" si="43"/>
        <v>Arabica</v>
      </c>
      <c r="O924" t="str">
        <f t="shared" si="44"/>
        <v>Medium</v>
      </c>
      <c r="P924" t="str">
        <f>_xlfn.XLOOKUP(Table1[[#This Row],[Customer ID]],customers!$A$1:$A$1001,customers!$I$1:$I$1001,,0)</f>
        <v>Yes</v>
      </c>
    </row>
    <row r="925" spans="1:16" x14ac:dyDescent="0.25">
      <c r="A925" s="2" t="s">
        <v>5709</v>
      </c>
      <c r="B925" s="8">
        <v>43746</v>
      </c>
      <c r="C925" s="2" t="s">
        <v>5710</v>
      </c>
      <c r="D925" t="s">
        <v>6185</v>
      </c>
      <c r="E925" s="2">
        <v>1</v>
      </c>
      <c r="F925" s="2" t="str">
        <f>_xlfn.XLOOKUP(orders!C925,customers!$A$1:$A$1001,customers!$B$1:$B$1001,,0)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9">
        <f>INDEX(products!$A$1:$G$49,MATCH(orders!$D925,products!$A$1:$A$49,0),MATCH(orders!K$1,products!$A$1:$G$1,0))</f>
        <v>2.5</v>
      </c>
      <c r="L925" s="10">
        <f>INDEX(products!$A$1:$G$49,MATCH(orders!$D925,products!$A$1:$A$49,0),MATCH(orders!L$1,products!$A$1:$G$1,0))</f>
        <v>27.945</v>
      </c>
      <c r="M925" s="10">
        <f t="shared" si="42"/>
        <v>27.945</v>
      </c>
      <c r="N925" t="str">
        <f t="shared" si="43"/>
        <v>Excelsa</v>
      </c>
      <c r="O925" t="str">
        <f t="shared" si="44"/>
        <v>Dark</v>
      </c>
      <c r="P925" t="str">
        <f>_xlfn.XLOOKUP(Table1[[#This Row],[Customer ID]],customers!$A$1:$A$1001,customers!$I$1:$I$1001,,0)</f>
        <v>No</v>
      </c>
    </row>
    <row r="926" spans="1:16" x14ac:dyDescent="0.25">
      <c r="A926" s="2" t="s">
        <v>5715</v>
      </c>
      <c r="B926" s="8">
        <v>44451</v>
      </c>
      <c r="C926" s="2" t="s">
        <v>5716</v>
      </c>
      <c r="D926" t="s">
        <v>6182</v>
      </c>
      <c r="E926" s="2">
        <v>3</v>
      </c>
      <c r="F926" s="2" t="str">
        <f>_xlfn.XLOOKUP(orders!C926,customers!$A$1:$A$1001,customers!$B$1:$B$1001,,0)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9">
        <f>INDEX(products!$A$1:$G$49,MATCH(orders!$D926,products!$A$1:$A$49,0),MATCH(orders!K$1,products!$A$1:$G$1,0))</f>
        <v>2.5</v>
      </c>
      <c r="L926" s="10">
        <f>INDEX(products!$A$1:$G$49,MATCH(orders!$D926,products!$A$1:$A$49,0),MATCH(orders!L$1,products!$A$1:$G$1,0))</f>
        <v>29.784999999999997</v>
      </c>
      <c r="M926" s="10">
        <f t="shared" si="42"/>
        <v>89.35499999999999</v>
      </c>
      <c r="N926" t="str">
        <f t="shared" si="43"/>
        <v>Arabica</v>
      </c>
      <c r="O926" t="str">
        <f t="shared" si="44"/>
        <v>Light</v>
      </c>
      <c r="P926" t="str">
        <f>_xlfn.XLOOKUP(Table1[[#This Row],[Customer ID]],customers!$A$1:$A$1001,customers!$I$1:$I$1001,,0)</f>
        <v>No</v>
      </c>
    </row>
    <row r="927" spans="1:16" x14ac:dyDescent="0.25">
      <c r="A927" s="2" t="s">
        <v>5720</v>
      </c>
      <c r="B927" s="8">
        <v>44770</v>
      </c>
      <c r="C927" s="2" t="s">
        <v>5554</v>
      </c>
      <c r="D927" t="s">
        <v>6157</v>
      </c>
      <c r="E927" s="2">
        <v>3</v>
      </c>
      <c r="F927" s="2" t="str">
        <f>_xlfn.XLOOKUP(orders!C927,customers!$A$1:$A$1001,customers!$B$1:$B$1001,,0)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9">
        <f>INDEX(products!$A$1:$G$49,MATCH(orders!$D927,products!$A$1:$A$49,0),MATCH(orders!K$1,products!$A$1:$G$1,0))</f>
        <v>0.5</v>
      </c>
      <c r="L927" s="10">
        <f>INDEX(products!$A$1:$G$49,MATCH(orders!$D927,products!$A$1:$A$49,0),MATCH(orders!L$1,products!$A$1:$G$1,0))</f>
        <v>6.75</v>
      </c>
      <c r="M927" s="10">
        <f t="shared" si="42"/>
        <v>20.25</v>
      </c>
      <c r="N927" t="str">
        <f t="shared" si="43"/>
        <v>Arabica</v>
      </c>
      <c r="O927" t="str">
        <f t="shared" si="44"/>
        <v>Medium</v>
      </c>
      <c r="P927" t="str">
        <f>_xlfn.XLOOKUP(Table1[[#This Row],[Customer ID]],customers!$A$1:$A$1001,customers!$I$1:$I$1001,,0)</f>
        <v>No</v>
      </c>
    </row>
    <row r="928" spans="1:16" x14ac:dyDescent="0.25">
      <c r="A928" s="2" t="s">
        <v>5725</v>
      </c>
      <c r="B928" s="8">
        <v>44012</v>
      </c>
      <c r="C928" s="2" t="s">
        <v>5726</v>
      </c>
      <c r="D928" t="s">
        <v>6157</v>
      </c>
      <c r="E928" s="2">
        <v>5</v>
      </c>
      <c r="F928" s="2" t="str">
        <f>_xlfn.XLOOKUP(orders!C928,customers!$A$1:$A$1001,customers!$B$1:$B$1001,,0)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9">
        <f>INDEX(products!$A$1:$G$49,MATCH(orders!$D928,products!$A$1:$A$49,0),MATCH(orders!K$1,products!$A$1:$G$1,0))</f>
        <v>0.5</v>
      </c>
      <c r="L928" s="10">
        <f>INDEX(products!$A$1:$G$49,MATCH(orders!$D928,products!$A$1:$A$49,0),MATCH(orders!L$1,products!$A$1:$G$1,0))</f>
        <v>6.75</v>
      </c>
      <c r="M928" s="10">
        <f t="shared" si="42"/>
        <v>33.75</v>
      </c>
      <c r="N928" t="str">
        <f t="shared" si="43"/>
        <v>Arabica</v>
      </c>
      <c r="O928" t="str">
        <f t="shared" si="44"/>
        <v>Medium</v>
      </c>
      <c r="P928" t="str">
        <f>_xlfn.XLOOKUP(Table1[[#This Row],[Customer ID]],customers!$A$1:$A$1001,customers!$I$1:$I$1001,,0)</f>
        <v>Yes</v>
      </c>
    </row>
    <row r="929" spans="1:16" x14ac:dyDescent="0.25">
      <c r="A929" s="2" t="s">
        <v>5731</v>
      </c>
      <c r="B929" s="8">
        <v>43474</v>
      </c>
      <c r="C929" s="2" t="s">
        <v>5732</v>
      </c>
      <c r="D929" t="s">
        <v>6185</v>
      </c>
      <c r="E929" s="2">
        <v>4</v>
      </c>
      <c r="F929" s="2" t="str">
        <f>_xlfn.XLOOKUP(orders!C929,customers!$A$1:$A$1001,customers!$B$1:$B$1001,,0)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9">
        <f>INDEX(products!$A$1:$G$49,MATCH(orders!$D929,products!$A$1:$A$49,0),MATCH(orders!K$1,products!$A$1:$G$1,0))</f>
        <v>2.5</v>
      </c>
      <c r="L929" s="10">
        <f>INDEX(products!$A$1:$G$49,MATCH(orders!$D929,products!$A$1:$A$49,0),MATCH(orders!L$1,products!$A$1:$G$1,0))</f>
        <v>27.945</v>
      </c>
      <c r="M929" s="10">
        <f t="shared" si="42"/>
        <v>111.78</v>
      </c>
      <c r="N929" t="str">
        <f t="shared" si="43"/>
        <v>Excelsa</v>
      </c>
      <c r="O929" t="str">
        <f t="shared" si="44"/>
        <v>Dark</v>
      </c>
      <c r="P929" t="str">
        <f>_xlfn.XLOOKUP(Table1[[#This Row],[Customer ID]],customers!$A$1:$A$1001,customers!$I$1:$I$1001,,0)</f>
        <v>No</v>
      </c>
    </row>
    <row r="930" spans="1:16" x14ac:dyDescent="0.25">
      <c r="A930" s="2" t="s">
        <v>5737</v>
      </c>
      <c r="B930" s="8">
        <v>44754</v>
      </c>
      <c r="C930" s="2" t="s">
        <v>5738</v>
      </c>
      <c r="D930" t="s">
        <v>6166</v>
      </c>
      <c r="E930" s="2">
        <v>2</v>
      </c>
      <c r="F930" s="2" t="str">
        <f>_xlfn.XLOOKUP(orders!C930,customers!$A$1:$A$1001,customers!$B$1:$B$1001,,0)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9">
        <f>INDEX(products!$A$1:$G$49,MATCH(orders!$D930,products!$A$1:$A$49,0),MATCH(orders!K$1,products!$A$1:$G$1,0))</f>
        <v>2.5</v>
      </c>
      <c r="L930" s="10">
        <f>INDEX(products!$A$1:$G$49,MATCH(orders!$D930,products!$A$1:$A$49,0),MATCH(orders!L$1,products!$A$1:$G$1,0))</f>
        <v>31.624999999999996</v>
      </c>
      <c r="M930" s="10">
        <f t="shared" si="42"/>
        <v>63.249999999999993</v>
      </c>
      <c r="N930" t="str">
        <f t="shared" si="43"/>
        <v>Excelsa</v>
      </c>
      <c r="O930" t="str">
        <f t="shared" si="44"/>
        <v>Medium</v>
      </c>
      <c r="P930" t="str">
        <f>_xlfn.XLOOKUP(Table1[[#This Row],[Customer ID]],customers!$A$1:$A$1001,customers!$I$1:$I$1001,,0)</f>
        <v>Yes</v>
      </c>
    </row>
    <row r="931" spans="1:16" x14ac:dyDescent="0.25">
      <c r="A931" s="2" t="s">
        <v>5742</v>
      </c>
      <c r="B931" s="8">
        <v>44165</v>
      </c>
      <c r="C931" s="2" t="s">
        <v>5743</v>
      </c>
      <c r="D931" t="s">
        <v>6184</v>
      </c>
      <c r="E931" s="2">
        <v>2</v>
      </c>
      <c r="F931" s="2" t="str">
        <f>_xlfn.XLOOKUP(orders!C931,customers!$A$1:$A$1001,customers!$B$1:$B$1001,,0)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9">
        <f>INDEX(products!$A$1:$G$49,MATCH(orders!$D931,products!$A$1:$A$49,0),MATCH(orders!K$1,products!$A$1:$G$1,0))</f>
        <v>0.2</v>
      </c>
      <c r="L931" s="10">
        <f>INDEX(products!$A$1:$G$49,MATCH(orders!$D931,products!$A$1:$A$49,0),MATCH(orders!L$1,products!$A$1:$G$1,0))</f>
        <v>4.4550000000000001</v>
      </c>
      <c r="M931" s="10">
        <f t="shared" si="42"/>
        <v>8.91</v>
      </c>
      <c r="N931" t="str">
        <f t="shared" si="43"/>
        <v>Excelsa</v>
      </c>
      <c r="O931" t="str">
        <f t="shared" si="44"/>
        <v>Light</v>
      </c>
      <c r="P931" t="str">
        <f>_xlfn.XLOOKUP(Table1[[#This Row],[Customer ID]],customers!$A$1:$A$1001,customers!$I$1:$I$1001,,0)</f>
        <v>Yes</v>
      </c>
    </row>
    <row r="932" spans="1:16" x14ac:dyDescent="0.25">
      <c r="A932" s="2" t="s">
        <v>5748</v>
      </c>
      <c r="B932" s="8">
        <v>43546</v>
      </c>
      <c r="C932" s="2" t="s">
        <v>5749</v>
      </c>
      <c r="D932" t="s">
        <v>6183</v>
      </c>
      <c r="E932" s="2">
        <v>1</v>
      </c>
      <c r="F932" s="2" t="str">
        <f>_xlfn.XLOOKUP(orders!C932,customers!$A$1:$A$1001,customers!$B$1:$B$1001,,0)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9">
        <f>INDEX(products!$A$1:$G$49,MATCH(orders!$D932,products!$A$1:$A$49,0),MATCH(orders!K$1,products!$A$1:$G$1,0))</f>
        <v>1</v>
      </c>
      <c r="L932" s="10">
        <f>INDEX(products!$A$1:$G$49,MATCH(orders!$D932,products!$A$1:$A$49,0),MATCH(orders!L$1,products!$A$1:$G$1,0))</f>
        <v>12.15</v>
      </c>
      <c r="M932" s="10">
        <f t="shared" si="42"/>
        <v>12.15</v>
      </c>
      <c r="N932" t="str">
        <f t="shared" si="43"/>
        <v>Excelsa</v>
      </c>
      <c r="O932" t="str">
        <f t="shared" si="44"/>
        <v>Dark</v>
      </c>
      <c r="P932" t="str">
        <f>_xlfn.XLOOKUP(Table1[[#This Row],[Customer ID]],customers!$A$1:$A$1001,customers!$I$1:$I$1001,,0)</f>
        <v>Yes</v>
      </c>
    </row>
    <row r="933" spans="1:16" x14ac:dyDescent="0.25">
      <c r="A933" s="2" t="s">
        <v>5753</v>
      </c>
      <c r="B933" s="8">
        <v>44607</v>
      </c>
      <c r="C933" s="2" t="s">
        <v>5754</v>
      </c>
      <c r="D933" t="s">
        <v>6158</v>
      </c>
      <c r="E933" s="2">
        <v>4</v>
      </c>
      <c r="F933" s="2" t="str">
        <f>_xlfn.XLOOKUP(orders!C933,customers!$A$1:$A$1001,customers!$B$1:$B$1001,,0)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9">
        <f>INDEX(products!$A$1:$G$49,MATCH(orders!$D933,products!$A$1:$A$49,0),MATCH(orders!K$1,products!$A$1:$G$1,0))</f>
        <v>0.5</v>
      </c>
      <c r="L933" s="10">
        <f>INDEX(products!$A$1:$G$49,MATCH(orders!$D933,products!$A$1:$A$49,0),MATCH(orders!L$1,products!$A$1:$G$1,0))</f>
        <v>5.97</v>
      </c>
      <c r="M933" s="10">
        <f t="shared" si="42"/>
        <v>23.88</v>
      </c>
      <c r="N933" t="str">
        <f t="shared" si="43"/>
        <v>Arabica</v>
      </c>
      <c r="O933" t="str">
        <f t="shared" si="44"/>
        <v>Dark</v>
      </c>
      <c r="P933" t="str">
        <f>_xlfn.XLOOKUP(Table1[[#This Row],[Customer ID]],customers!$A$1:$A$1001,customers!$I$1:$I$1001,,0)</f>
        <v>Yes</v>
      </c>
    </row>
    <row r="934" spans="1:16" x14ac:dyDescent="0.25">
      <c r="A934" s="2" t="s">
        <v>5757</v>
      </c>
      <c r="B934" s="8">
        <v>44117</v>
      </c>
      <c r="C934" s="2" t="s">
        <v>5758</v>
      </c>
      <c r="D934" t="s">
        <v>6141</v>
      </c>
      <c r="E934" s="2">
        <v>4</v>
      </c>
      <c r="F934" s="2" t="str">
        <f>_xlfn.XLOOKUP(orders!C934,customers!$A$1:$A$1001,customers!$B$1:$B$1001,,0)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9">
        <f>INDEX(products!$A$1:$G$49,MATCH(orders!$D934,products!$A$1:$A$49,0),MATCH(orders!K$1,products!$A$1:$G$1,0))</f>
        <v>1</v>
      </c>
      <c r="L934" s="10">
        <f>INDEX(products!$A$1:$G$49,MATCH(orders!$D934,products!$A$1:$A$49,0),MATCH(orders!L$1,products!$A$1:$G$1,0))</f>
        <v>13.75</v>
      </c>
      <c r="M934" s="10">
        <f t="shared" si="42"/>
        <v>55</v>
      </c>
      <c r="N934" t="str">
        <f t="shared" si="43"/>
        <v>Excelsa</v>
      </c>
      <c r="O934" t="str">
        <f t="shared" si="44"/>
        <v>Medium</v>
      </c>
      <c r="P934" t="str">
        <f>_xlfn.XLOOKUP(Table1[[#This Row],[Customer ID]],customers!$A$1:$A$1001,customers!$I$1:$I$1001,,0)</f>
        <v>No</v>
      </c>
    </row>
    <row r="935" spans="1:16" x14ac:dyDescent="0.25">
      <c r="A935" s="2" t="s">
        <v>5763</v>
      </c>
      <c r="B935" s="8">
        <v>44557</v>
      </c>
      <c r="C935" s="2" t="s">
        <v>5764</v>
      </c>
      <c r="D935" t="s">
        <v>6177</v>
      </c>
      <c r="E935" s="2">
        <v>3</v>
      </c>
      <c r="F935" s="2" t="str">
        <f>_xlfn.XLOOKUP(orders!C935,customers!$A$1:$A$1001,customers!$B$1:$B$1001,,0)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9">
        <f>INDEX(products!$A$1:$G$49,MATCH(orders!$D935,products!$A$1:$A$49,0),MATCH(orders!K$1,products!$A$1:$G$1,0))</f>
        <v>1</v>
      </c>
      <c r="L935" s="10">
        <f>INDEX(products!$A$1:$G$49,MATCH(orders!$D935,products!$A$1:$A$49,0),MATCH(orders!L$1,products!$A$1:$G$1,0))</f>
        <v>8.9499999999999993</v>
      </c>
      <c r="M935" s="10">
        <f t="shared" si="42"/>
        <v>26.849999999999998</v>
      </c>
      <c r="N935" t="str">
        <f t="shared" si="43"/>
        <v>Robusta</v>
      </c>
      <c r="O935" t="str">
        <f t="shared" si="44"/>
        <v>Dark</v>
      </c>
      <c r="P935" t="str">
        <f>_xlfn.XLOOKUP(Table1[[#This Row],[Customer ID]],customers!$A$1:$A$1001,customers!$I$1:$I$1001,,0)</f>
        <v>Yes</v>
      </c>
    </row>
    <row r="936" spans="1:16" x14ac:dyDescent="0.25">
      <c r="A936" s="2" t="s">
        <v>5768</v>
      </c>
      <c r="B936" s="8">
        <v>44409</v>
      </c>
      <c r="C936" s="2" t="s">
        <v>5769</v>
      </c>
      <c r="D936" t="s">
        <v>6151</v>
      </c>
      <c r="E936" s="2">
        <v>5</v>
      </c>
      <c r="F936" s="2" t="str">
        <f>_xlfn.XLOOKUP(orders!C936,customers!$A$1:$A$1001,customers!$B$1:$B$1001,,0)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9">
        <f>INDEX(products!$A$1:$G$49,MATCH(orders!$D936,products!$A$1:$A$49,0),MATCH(orders!K$1,products!$A$1:$G$1,0))</f>
        <v>2.5</v>
      </c>
      <c r="L936" s="10">
        <f>INDEX(products!$A$1:$G$49,MATCH(orders!$D936,products!$A$1:$A$49,0),MATCH(orders!L$1,products!$A$1:$G$1,0))</f>
        <v>22.884999999999998</v>
      </c>
      <c r="M936" s="10">
        <f t="shared" si="42"/>
        <v>114.42499999999998</v>
      </c>
      <c r="N936" t="str">
        <f t="shared" si="43"/>
        <v>Robusta</v>
      </c>
      <c r="O936" t="str">
        <f t="shared" si="44"/>
        <v>Medium</v>
      </c>
      <c r="P936" t="str">
        <f>_xlfn.XLOOKUP(Table1[[#This Row],[Customer ID]],customers!$A$1:$A$1001,customers!$I$1:$I$1001,,0)</f>
        <v>No</v>
      </c>
    </row>
    <row r="937" spans="1:16" x14ac:dyDescent="0.25">
      <c r="A937" s="2" t="s">
        <v>5774</v>
      </c>
      <c r="B937" s="8">
        <v>44153</v>
      </c>
      <c r="C937" s="2" t="s">
        <v>5775</v>
      </c>
      <c r="D937" t="s">
        <v>6175</v>
      </c>
      <c r="E937" s="2">
        <v>6</v>
      </c>
      <c r="F937" s="2" t="str">
        <f>_xlfn.XLOOKUP(orders!C937,customers!$A$1:$A$1001,customers!$B$1:$B$1001,,0)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9">
        <f>INDEX(products!$A$1:$G$49,MATCH(orders!$D937,products!$A$1:$A$49,0),MATCH(orders!K$1,products!$A$1:$G$1,0))</f>
        <v>2.5</v>
      </c>
      <c r="L937" s="10">
        <f>INDEX(products!$A$1:$G$49,MATCH(orders!$D937,products!$A$1:$A$49,0),MATCH(orders!L$1,products!$A$1:$G$1,0))</f>
        <v>25.874999999999996</v>
      </c>
      <c r="M937" s="10">
        <f t="shared" si="42"/>
        <v>155.24999999999997</v>
      </c>
      <c r="N937" t="str">
        <f t="shared" si="43"/>
        <v>Arabica</v>
      </c>
      <c r="O937" t="str">
        <f t="shared" si="44"/>
        <v>Medium</v>
      </c>
      <c r="P937" t="str">
        <f>_xlfn.XLOOKUP(Table1[[#This Row],[Customer ID]],customers!$A$1:$A$1001,customers!$I$1:$I$1001,,0)</f>
        <v>Yes</v>
      </c>
    </row>
    <row r="938" spans="1:16" x14ac:dyDescent="0.25">
      <c r="A938" s="2" t="s">
        <v>5780</v>
      </c>
      <c r="B938" s="8">
        <v>44493</v>
      </c>
      <c r="C938" s="2" t="s">
        <v>5781</v>
      </c>
      <c r="D938" t="s">
        <v>6169</v>
      </c>
      <c r="E938" s="2">
        <v>3</v>
      </c>
      <c r="F938" s="2" t="str">
        <f>_xlfn.XLOOKUP(orders!C938,customers!$A$1:$A$1001,customers!$B$1:$B$1001,,0)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9">
        <f>INDEX(products!$A$1:$G$49,MATCH(orders!$D938,products!$A$1:$A$49,0),MATCH(orders!K$1,products!$A$1:$G$1,0))</f>
        <v>0.5</v>
      </c>
      <c r="L938" s="10">
        <f>INDEX(products!$A$1:$G$49,MATCH(orders!$D938,products!$A$1:$A$49,0),MATCH(orders!L$1,products!$A$1:$G$1,0))</f>
        <v>7.77</v>
      </c>
      <c r="M938" s="10">
        <f t="shared" si="42"/>
        <v>23.31</v>
      </c>
      <c r="N938" t="str">
        <f t="shared" si="43"/>
        <v>Liberica</v>
      </c>
      <c r="O938" t="str">
        <f t="shared" si="44"/>
        <v>Dark</v>
      </c>
      <c r="P938" t="str">
        <f>_xlfn.XLOOKUP(Table1[[#This Row],[Customer ID]],customers!$A$1:$A$1001,customers!$I$1:$I$1001,,0)</f>
        <v>Yes</v>
      </c>
    </row>
    <row r="939" spans="1:16" x14ac:dyDescent="0.25">
      <c r="A939" s="2" t="s">
        <v>5780</v>
      </c>
      <c r="B939" s="8">
        <v>44493</v>
      </c>
      <c r="C939" s="2" t="s">
        <v>5781</v>
      </c>
      <c r="D939" t="s">
        <v>6151</v>
      </c>
      <c r="E939" s="2">
        <v>4</v>
      </c>
      <c r="F939" s="2" t="str">
        <f>_xlfn.XLOOKUP(orders!C939,customers!$A$1:$A$1001,customers!$B$1:$B$1001,,0)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9">
        <f>INDEX(products!$A$1:$G$49,MATCH(orders!$D939,products!$A$1:$A$49,0),MATCH(orders!K$1,products!$A$1:$G$1,0))</f>
        <v>2.5</v>
      </c>
      <c r="L939" s="10">
        <f>INDEX(products!$A$1:$G$49,MATCH(orders!$D939,products!$A$1:$A$49,0),MATCH(orders!L$1,products!$A$1:$G$1,0))</f>
        <v>22.884999999999998</v>
      </c>
      <c r="M939" s="10">
        <f t="shared" si="42"/>
        <v>91.539999999999992</v>
      </c>
      <c r="N939" t="str">
        <f t="shared" si="43"/>
        <v>Robusta</v>
      </c>
      <c r="O939" t="str">
        <f t="shared" si="44"/>
        <v>Medium</v>
      </c>
      <c r="P939" t="str">
        <f>_xlfn.XLOOKUP(Table1[[#This Row],[Customer ID]],customers!$A$1:$A$1001,customers!$I$1:$I$1001,,0)</f>
        <v>Yes</v>
      </c>
    </row>
    <row r="940" spans="1:16" x14ac:dyDescent="0.25">
      <c r="A940" s="2" t="s">
        <v>5791</v>
      </c>
      <c r="B940" s="8">
        <v>43829</v>
      </c>
      <c r="C940" s="2" t="s">
        <v>5792</v>
      </c>
      <c r="D940" t="s">
        <v>6171</v>
      </c>
      <c r="E940" s="2">
        <v>5</v>
      </c>
      <c r="F940" s="2" t="str">
        <f>_xlfn.XLOOKUP(orders!C940,customers!$A$1:$A$1001,customers!$B$1:$B$1001,,0)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9">
        <f>INDEX(products!$A$1:$G$49,MATCH(orders!$D940,products!$A$1:$A$49,0),MATCH(orders!K$1,products!$A$1:$G$1,0))</f>
        <v>1</v>
      </c>
      <c r="L940" s="10">
        <f>INDEX(products!$A$1:$G$49,MATCH(orders!$D940,products!$A$1:$A$49,0),MATCH(orders!L$1,products!$A$1:$G$1,0))</f>
        <v>14.85</v>
      </c>
      <c r="M940" s="10">
        <f t="shared" si="42"/>
        <v>74.25</v>
      </c>
      <c r="N940" t="str">
        <f t="shared" si="43"/>
        <v>Excelsa</v>
      </c>
      <c r="O940" t="str">
        <f t="shared" si="44"/>
        <v>Light</v>
      </c>
      <c r="P940" t="str">
        <f>_xlfn.XLOOKUP(Table1[[#This Row],[Customer ID]],customers!$A$1:$A$1001,customers!$I$1:$I$1001,,0)</f>
        <v>Yes</v>
      </c>
    </row>
    <row r="941" spans="1:16" x14ac:dyDescent="0.25">
      <c r="A941" s="2" t="s">
        <v>5797</v>
      </c>
      <c r="B941" s="8">
        <v>44229</v>
      </c>
      <c r="C941" s="2" t="s">
        <v>5798</v>
      </c>
      <c r="D941" t="s">
        <v>6145</v>
      </c>
      <c r="E941" s="2">
        <v>6</v>
      </c>
      <c r="F941" s="2" t="str">
        <f>_xlfn.XLOOKUP(orders!C941,customers!$A$1:$A$1001,customers!$B$1:$B$1001,,0)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9">
        <f>INDEX(products!$A$1:$G$49,MATCH(orders!$D941,products!$A$1:$A$49,0),MATCH(orders!K$1,products!$A$1:$G$1,0))</f>
        <v>0.2</v>
      </c>
      <c r="L941" s="10">
        <f>INDEX(products!$A$1:$G$49,MATCH(orders!$D941,products!$A$1:$A$49,0),MATCH(orders!L$1,products!$A$1:$G$1,0))</f>
        <v>4.7549999999999999</v>
      </c>
      <c r="M941" s="10">
        <f t="shared" si="42"/>
        <v>28.53</v>
      </c>
      <c r="N941" t="str">
        <f t="shared" si="43"/>
        <v>Liberica</v>
      </c>
      <c r="O941" t="str">
        <f t="shared" si="44"/>
        <v>Light</v>
      </c>
      <c r="P941" t="str">
        <f>_xlfn.XLOOKUP(Table1[[#This Row],[Customer ID]],customers!$A$1:$A$1001,customers!$I$1:$I$1001,,0)</f>
        <v>No</v>
      </c>
    </row>
    <row r="942" spans="1:16" x14ac:dyDescent="0.25">
      <c r="A942" s="2" t="s">
        <v>5803</v>
      </c>
      <c r="B942" s="8">
        <v>44332</v>
      </c>
      <c r="C942" s="2" t="s">
        <v>5804</v>
      </c>
      <c r="D942" t="s">
        <v>6173</v>
      </c>
      <c r="E942" s="2">
        <v>2</v>
      </c>
      <c r="F942" s="2" t="str">
        <f>_xlfn.XLOOKUP(orders!C942,customers!$A$1:$A$1001,customers!$B$1:$B$1001,,0)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9">
        <f>INDEX(products!$A$1:$G$49,MATCH(orders!$D942,products!$A$1:$A$49,0),MATCH(orders!K$1,products!$A$1:$G$1,0))</f>
        <v>0.5</v>
      </c>
      <c r="L942" s="10">
        <f>INDEX(products!$A$1:$G$49,MATCH(orders!$D942,products!$A$1:$A$49,0),MATCH(orders!L$1,products!$A$1:$G$1,0))</f>
        <v>7.169999999999999</v>
      </c>
      <c r="M942" s="10">
        <f t="shared" si="42"/>
        <v>14.339999999999998</v>
      </c>
      <c r="N942" t="str">
        <f t="shared" si="43"/>
        <v>Robusta</v>
      </c>
      <c r="O942" t="str">
        <f t="shared" si="44"/>
        <v>Light</v>
      </c>
      <c r="P942" t="str">
        <f>_xlfn.XLOOKUP(Table1[[#This Row],[Customer ID]],customers!$A$1:$A$1001,customers!$I$1:$I$1001,,0)</f>
        <v>Yes</v>
      </c>
    </row>
    <row r="943" spans="1:16" x14ac:dyDescent="0.25">
      <c r="A943" s="2" t="s">
        <v>5809</v>
      </c>
      <c r="B943" s="8">
        <v>44674</v>
      </c>
      <c r="C943" s="2" t="s">
        <v>5810</v>
      </c>
      <c r="D943" t="s">
        <v>6180</v>
      </c>
      <c r="E943" s="2">
        <v>2</v>
      </c>
      <c r="F943" s="2" t="str">
        <f>_xlfn.XLOOKUP(orders!C943,customers!$A$1:$A$1001,customers!$B$1:$B$1001,,0)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9">
        <f>INDEX(products!$A$1:$G$49,MATCH(orders!$D943,products!$A$1:$A$49,0),MATCH(orders!K$1,products!$A$1:$G$1,0))</f>
        <v>0.5</v>
      </c>
      <c r="L943" s="10">
        <f>INDEX(products!$A$1:$G$49,MATCH(orders!$D943,products!$A$1:$A$49,0),MATCH(orders!L$1,products!$A$1:$G$1,0))</f>
        <v>7.77</v>
      </c>
      <c r="M943" s="10">
        <f t="shared" si="42"/>
        <v>15.54</v>
      </c>
      <c r="N943" t="str">
        <f t="shared" si="43"/>
        <v>Arabica</v>
      </c>
      <c r="O943" t="str">
        <f t="shared" si="44"/>
        <v>Light</v>
      </c>
      <c r="P943" t="str">
        <f>_xlfn.XLOOKUP(Table1[[#This Row],[Customer ID]],customers!$A$1:$A$1001,customers!$I$1:$I$1001,,0)</f>
        <v>Yes</v>
      </c>
    </row>
    <row r="944" spans="1:16" x14ac:dyDescent="0.25">
      <c r="A944" s="2" t="s">
        <v>5816</v>
      </c>
      <c r="B944" s="8">
        <v>44464</v>
      </c>
      <c r="C944" s="2" t="s">
        <v>5817</v>
      </c>
      <c r="D944" t="s">
        <v>6179</v>
      </c>
      <c r="E944" s="2">
        <v>3</v>
      </c>
      <c r="F944" s="2" t="str">
        <f>_xlfn.XLOOKUP(orders!C944,customers!$A$1:$A$1001,customers!$B$1:$B$1001,,0)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9">
        <f>INDEX(products!$A$1:$G$49,MATCH(orders!$D944,products!$A$1:$A$49,0),MATCH(orders!K$1,products!$A$1:$G$1,0))</f>
        <v>1</v>
      </c>
      <c r="L944" s="10">
        <f>INDEX(products!$A$1:$G$49,MATCH(orders!$D944,products!$A$1:$A$49,0),MATCH(orders!L$1,products!$A$1:$G$1,0))</f>
        <v>11.95</v>
      </c>
      <c r="M944" s="10">
        <f t="shared" si="42"/>
        <v>35.849999999999994</v>
      </c>
      <c r="N944" t="str">
        <f t="shared" si="43"/>
        <v>Robusta</v>
      </c>
      <c r="O944" t="str">
        <f t="shared" si="44"/>
        <v>Light</v>
      </c>
      <c r="P944" t="str">
        <f>_xlfn.XLOOKUP(Table1[[#This Row],[Customer ID]],customers!$A$1:$A$1001,customers!$I$1:$I$1001,,0)</f>
        <v>No</v>
      </c>
    </row>
    <row r="945" spans="1:16" x14ac:dyDescent="0.25">
      <c r="A945" s="2" t="s">
        <v>5822</v>
      </c>
      <c r="B945" s="8">
        <v>44719</v>
      </c>
      <c r="C945" s="2" t="s">
        <v>5823</v>
      </c>
      <c r="D945" t="s">
        <v>6180</v>
      </c>
      <c r="E945" s="2">
        <v>6</v>
      </c>
      <c r="F945" s="2" t="str">
        <f>_xlfn.XLOOKUP(orders!C945,customers!$A$1:$A$1001,customers!$B$1:$B$1001,,0)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9">
        <f>INDEX(products!$A$1:$G$49,MATCH(orders!$D945,products!$A$1:$A$49,0),MATCH(orders!K$1,products!$A$1:$G$1,0))</f>
        <v>0.5</v>
      </c>
      <c r="L945" s="10">
        <f>INDEX(products!$A$1:$G$49,MATCH(orders!$D945,products!$A$1:$A$49,0),MATCH(orders!L$1,products!$A$1:$G$1,0))</f>
        <v>7.77</v>
      </c>
      <c r="M945" s="10">
        <f t="shared" si="42"/>
        <v>46.62</v>
      </c>
      <c r="N945" t="str">
        <f t="shared" si="43"/>
        <v>Arabica</v>
      </c>
      <c r="O945" t="str">
        <f t="shared" si="44"/>
        <v>Light</v>
      </c>
      <c r="P945" t="str">
        <f>_xlfn.XLOOKUP(Table1[[#This Row],[Customer ID]],customers!$A$1:$A$1001,customers!$I$1:$I$1001,,0)</f>
        <v>No</v>
      </c>
    </row>
    <row r="946" spans="1:16" x14ac:dyDescent="0.25">
      <c r="A946" s="2" t="s">
        <v>5828</v>
      </c>
      <c r="B946" s="8">
        <v>44054</v>
      </c>
      <c r="C946" s="2" t="s">
        <v>5829</v>
      </c>
      <c r="D946" t="s">
        <v>6173</v>
      </c>
      <c r="E946" s="2">
        <v>5</v>
      </c>
      <c r="F946" s="2" t="str">
        <f>_xlfn.XLOOKUP(orders!C946,customers!$A$1:$A$1001,customers!$B$1:$B$1001,,0)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9">
        <f>INDEX(products!$A$1:$G$49,MATCH(orders!$D946,products!$A$1:$A$49,0),MATCH(orders!K$1,products!$A$1:$G$1,0))</f>
        <v>0.5</v>
      </c>
      <c r="L946" s="10">
        <f>INDEX(products!$A$1:$G$49,MATCH(orders!$D946,products!$A$1:$A$49,0),MATCH(orders!L$1,products!$A$1:$G$1,0))</f>
        <v>7.169999999999999</v>
      </c>
      <c r="M946" s="10">
        <f t="shared" si="42"/>
        <v>35.849999999999994</v>
      </c>
      <c r="N946" t="str">
        <f t="shared" si="43"/>
        <v>Robusta</v>
      </c>
      <c r="O946" t="str">
        <f t="shared" si="44"/>
        <v>Light</v>
      </c>
      <c r="P946" t="str">
        <f>_xlfn.XLOOKUP(Table1[[#This Row],[Customer ID]],customers!$A$1:$A$1001,customers!$I$1:$I$1001,,0)</f>
        <v>No</v>
      </c>
    </row>
    <row r="947" spans="1:16" x14ac:dyDescent="0.25">
      <c r="A947" s="2" t="s">
        <v>5834</v>
      </c>
      <c r="B947" s="8">
        <v>43524</v>
      </c>
      <c r="C947" s="2" t="s">
        <v>5835</v>
      </c>
      <c r="D947" t="s">
        <v>6165</v>
      </c>
      <c r="E947" s="2">
        <v>4</v>
      </c>
      <c r="F947" s="2" t="str">
        <f>_xlfn.XLOOKUP(orders!C947,customers!$A$1:$A$1001,customers!$B$1:$B$1001,,0)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9">
        <f>INDEX(products!$A$1:$G$49,MATCH(orders!$D947,products!$A$1:$A$49,0),MATCH(orders!K$1,products!$A$1:$G$1,0))</f>
        <v>2.5</v>
      </c>
      <c r="L947" s="10">
        <f>INDEX(products!$A$1:$G$49,MATCH(orders!$D947,products!$A$1:$A$49,0),MATCH(orders!L$1,products!$A$1:$G$1,0))</f>
        <v>29.784999999999997</v>
      </c>
      <c r="M947" s="10">
        <f t="shared" si="42"/>
        <v>119.13999999999999</v>
      </c>
      <c r="N947" t="str">
        <f t="shared" si="43"/>
        <v>Liberica</v>
      </c>
      <c r="O947" t="str">
        <f t="shared" si="44"/>
        <v>Dark</v>
      </c>
      <c r="P947" t="str">
        <f>_xlfn.XLOOKUP(Table1[[#This Row],[Customer ID]],customers!$A$1:$A$1001,customers!$I$1:$I$1001,,0)</f>
        <v>No</v>
      </c>
    </row>
    <row r="948" spans="1:16" x14ac:dyDescent="0.25">
      <c r="A948" s="2" t="s">
        <v>5839</v>
      </c>
      <c r="B948" s="8">
        <v>43719</v>
      </c>
      <c r="C948" s="2" t="s">
        <v>5840</v>
      </c>
      <c r="D948" t="s">
        <v>6169</v>
      </c>
      <c r="E948" s="2">
        <v>3</v>
      </c>
      <c r="F948" s="2" t="str">
        <f>_xlfn.XLOOKUP(orders!C948,customers!$A$1:$A$1001,customers!$B$1:$B$1001,,0)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9">
        <f>INDEX(products!$A$1:$G$49,MATCH(orders!$D948,products!$A$1:$A$49,0),MATCH(orders!K$1,products!$A$1:$G$1,0))</f>
        <v>0.5</v>
      </c>
      <c r="L948" s="10">
        <f>INDEX(products!$A$1:$G$49,MATCH(orders!$D948,products!$A$1:$A$49,0),MATCH(orders!L$1,products!$A$1:$G$1,0))</f>
        <v>7.77</v>
      </c>
      <c r="M948" s="10">
        <f t="shared" si="42"/>
        <v>23.31</v>
      </c>
      <c r="N948" t="str">
        <f t="shared" si="43"/>
        <v>Liberica</v>
      </c>
      <c r="O948" t="str">
        <f t="shared" si="44"/>
        <v>Dark</v>
      </c>
      <c r="P948" t="str">
        <f>_xlfn.XLOOKUP(Table1[[#This Row],[Customer ID]],customers!$A$1:$A$1001,customers!$I$1:$I$1001,,0)</f>
        <v>No</v>
      </c>
    </row>
    <row r="949" spans="1:16" x14ac:dyDescent="0.25">
      <c r="A949" s="2" t="s">
        <v>5844</v>
      </c>
      <c r="B949" s="8">
        <v>44294</v>
      </c>
      <c r="C949" s="2" t="s">
        <v>5845</v>
      </c>
      <c r="D949" t="s">
        <v>6155</v>
      </c>
      <c r="E949" s="2">
        <v>1</v>
      </c>
      <c r="F949" s="2" t="str">
        <f>_xlfn.XLOOKUP(orders!C949,customers!$A$1:$A$1001,customers!$B$1:$B$1001,,0)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9">
        <f>INDEX(products!$A$1:$G$49,MATCH(orders!$D949,products!$A$1:$A$49,0),MATCH(orders!K$1,products!$A$1:$G$1,0))</f>
        <v>1</v>
      </c>
      <c r="L949" s="10">
        <f>INDEX(products!$A$1:$G$49,MATCH(orders!$D949,products!$A$1:$A$49,0),MATCH(orders!L$1,products!$A$1:$G$1,0))</f>
        <v>11.25</v>
      </c>
      <c r="M949" s="10">
        <f t="shared" si="42"/>
        <v>11.25</v>
      </c>
      <c r="N949" t="str">
        <f t="shared" si="43"/>
        <v>Arabica</v>
      </c>
      <c r="O949" t="str">
        <f t="shared" si="44"/>
        <v>Medium</v>
      </c>
      <c r="P949" t="str">
        <f>_xlfn.XLOOKUP(Table1[[#This Row],[Customer ID]],customers!$A$1:$A$1001,customers!$I$1:$I$1001,,0)</f>
        <v>No</v>
      </c>
    </row>
    <row r="950" spans="1:16" x14ac:dyDescent="0.25">
      <c r="A950" s="2" t="s">
        <v>5849</v>
      </c>
      <c r="B950" s="8">
        <v>44445</v>
      </c>
      <c r="C950" s="2" t="s">
        <v>5850</v>
      </c>
      <c r="D950" t="s">
        <v>6185</v>
      </c>
      <c r="E950" s="2">
        <v>3</v>
      </c>
      <c r="F950" s="2" t="str">
        <f>_xlfn.XLOOKUP(orders!C950,customers!$A$1:$A$1001,customers!$B$1:$B$1001,,0)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9">
        <f>INDEX(products!$A$1:$G$49,MATCH(orders!$D950,products!$A$1:$A$49,0),MATCH(orders!K$1,products!$A$1:$G$1,0))</f>
        <v>2.5</v>
      </c>
      <c r="L950" s="10">
        <f>INDEX(products!$A$1:$G$49,MATCH(orders!$D950,products!$A$1:$A$49,0),MATCH(orders!L$1,products!$A$1:$G$1,0))</f>
        <v>27.945</v>
      </c>
      <c r="M950" s="10">
        <f t="shared" si="42"/>
        <v>83.835000000000008</v>
      </c>
      <c r="N950" t="str">
        <f t="shared" si="43"/>
        <v>Excelsa</v>
      </c>
      <c r="O950" t="str">
        <f t="shared" si="44"/>
        <v>Dark</v>
      </c>
      <c r="P950" t="str">
        <f>_xlfn.XLOOKUP(Table1[[#This Row],[Customer ID]],customers!$A$1:$A$1001,customers!$I$1:$I$1001,,0)</f>
        <v>Yes</v>
      </c>
    </row>
    <row r="951" spans="1:16" x14ac:dyDescent="0.25">
      <c r="A951" s="2" t="s">
        <v>5855</v>
      </c>
      <c r="B951" s="8">
        <v>44449</v>
      </c>
      <c r="C951" s="2" t="s">
        <v>5856</v>
      </c>
      <c r="D951" t="s">
        <v>6142</v>
      </c>
      <c r="E951" s="2">
        <v>4</v>
      </c>
      <c r="F951" s="2" t="str">
        <f>_xlfn.XLOOKUP(orders!C951,customers!$A$1:$A$1001,customers!$B$1:$B$1001,,0)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9">
        <f>INDEX(products!$A$1:$G$49,MATCH(orders!$D951,products!$A$1:$A$49,0),MATCH(orders!K$1,products!$A$1:$G$1,0))</f>
        <v>2.5</v>
      </c>
      <c r="L951" s="10">
        <f>INDEX(products!$A$1:$G$49,MATCH(orders!$D951,products!$A$1:$A$49,0),MATCH(orders!L$1,products!$A$1:$G$1,0))</f>
        <v>27.484999999999996</v>
      </c>
      <c r="M951" s="10">
        <f t="shared" si="42"/>
        <v>109.93999999999998</v>
      </c>
      <c r="N951" t="str">
        <f t="shared" si="43"/>
        <v>Robusta</v>
      </c>
      <c r="O951" t="str">
        <f t="shared" si="44"/>
        <v>Light</v>
      </c>
      <c r="P951" t="str">
        <f>_xlfn.XLOOKUP(Table1[[#This Row],[Customer ID]],customers!$A$1:$A$1001,customers!$I$1:$I$1001,,0)</f>
        <v>No</v>
      </c>
    </row>
    <row r="952" spans="1:16" x14ac:dyDescent="0.25">
      <c r="A952" s="2" t="s">
        <v>5861</v>
      </c>
      <c r="B952" s="8">
        <v>44703</v>
      </c>
      <c r="C952" s="2" t="s">
        <v>5862</v>
      </c>
      <c r="D952" t="s">
        <v>6178</v>
      </c>
      <c r="E952" s="2">
        <v>4</v>
      </c>
      <c r="F952" s="2" t="str">
        <f>_xlfn.XLOOKUP(orders!C952,customers!$A$1:$A$1001,customers!$B$1:$B$1001,,0)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9">
        <f>INDEX(products!$A$1:$G$49,MATCH(orders!$D952,products!$A$1:$A$49,0),MATCH(orders!K$1,products!$A$1:$G$1,0))</f>
        <v>0.2</v>
      </c>
      <c r="L952" s="10">
        <f>INDEX(products!$A$1:$G$49,MATCH(orders!$D952,products!$A$1:$A$49,0),MATCH(orders!L$1,products!$A$1:$G$1,0))</f>
        <v>3.5849999999999995</v>
      </c>
      <c r="M952" s="10">
        <f t="shared" si="42"/>
        <v>14.339999999999998</v>
      </c>
      <c r="N952" t="str">
        <f t="shared" si="43"/>
        <v>Robusta</v>
      </c>
      <c r="O952" t="str">
        <f t="shared" si="44"/>
        <v>Light</v>
      </c>
      <c r="P952" t="str">
        <f>_xlfn.XLOOKUP(Table1[[#This Row],[Customer ID]],customers!$A$1:$A$1001,customers!$I$1:$I$1001,,0)</f>
        <v>Yes</v>
      </c>
    </row>
    <row r="953" spans="1:16" x14ac:dyDescent="0.25">
      <c r="A953" s="2" t="s">
        <v>5866</v>
      </c>
      <c r="B953" s="8">
        <v>44092</v>
      </c>
      <c r="C953" s="2" t="s">
        <v>5867</v>
      </c>
      <c r="D953" t="s">
        <v>6178</v>
      </c>
      <c r="E953" s="2">
        <v>6</v>
      </c>
      <c r="F953" s="2" t="str">
        <f>_xlfn.XLOOKUP(orders!C953,customers!$A$1:$A$1001,customers!$B$1:$B$1001,,0)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9">
        <f>INDEX(products!$A$1:$G$49,MATCH(orders!$D953,products!$A$1:$A$49,0),MATCH(orders!K$1,products!$A$1:$G$1,0))</f>
        <v>0.2</v>
      </c>
      <c r="L953" s="10">
        <f>INDEX(products!$A$1:$G$49,MATCH(orders!$D953,products!$A$1:$A$49,0),MATCH(orders!L$1,products!$A$1:$G$1,0))</f>
        <v>3.5849999999999995</v>
      </c>
      <c r="M953" s="10">
        <f t="shared" si="42"/>
        <v>21.509999999999998</v>
      </c>
      <c r="N953" t="str">
        <f t="shared" si="43"/>
        <v>Robusta</v>
      </c>
      <c r="O953" t="str">
        <f t="shared" si="44"/>
        <v>Light</v>
      </c>
      <c r="P953" t="str">
        <f>_xlfn.XLOOKUP(Table1[[#This Row],[Customer ID]],customers!$A$1:$A$1001,customers!$I$1:$I$1001,,0)</f>
        <v>No</v>
      </c>
    </row>
    <row r="954" spans="1:16" x14ac:dyDescent="0.25">
      <c r="A954" s="2" t="s">
        <v>5872</v>
      </c>
      <c r="B954" s="8">
        <v>44439</v>
      </c>
      <c r="C954" s="2" t="s">
        <v>5873</v>
      </c>
      <c r="D954" t="s">
        <v>6155</v>
      </c>
      <c r="E954" s="2">
        <v>2</v>
      </c>
      <c r="F954" s="2" t="str">
        <f>_xlfn.XLOOKUP(orders!C954,customers!$A$1:$A$1001,customers!$B$1:$B$1001,,0)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9">
        <f>INDEX(products!$A$1:$G$49,MATCH(orders!$D954,products!$A$1:$A$49,0),MATCH(orders!K$1,products!$A$1:$G$1,0))</f>
        <v>1</v>
      </c>
      <c r="L954" s="10">
        <f>INDEX(products!$A$1:$G$49,MATCH(orders!$D954,products!$A$1:$A$49,0),MATCH(orders!L$1,products!$A$1:$G$1,0))</f>
        <v>11.25</v>
      </c>
      <c r="M954" s="10">
        <f t="shared" si="42"/>
        <v>22.5</v>
      </c>
      <c r="N954" t="str">
        <f t="shared" si="43"/>
        <v>Arabica</v>
      </c>
      <c r="O954" t="str">
        <f t="shared" si="44"/>
        <v>Medium</v>
      </c>
      <c r="P954" t="str">
        <f>_xlfn.XLOOKUP(Table1[[#This Row],[Customer ID]],customers!$A$1:$A$1001,customers!$I$1:$I$1001,,0)</f>
        <v>Yes</v>
      </c>
    </row>
    <row r="955" spans="1:16" x14ac:dyDescent="0.25">
      <c r="A955" s="2" t="s">
        <v>5878</v>
      </c>
      <c r="B955" s="8">
        <v>44582</v>
      </c>
      <c r="C955" s="2" t="s">
        <v>5764</v>
      </c>
      <c r="D955" t="s">
        <v>6167</v>
      </c>
      <c r="E955" s="2">
        <v>1</v>
      </c>
      <c r="F955" s="2" t="str">
        <f>_xlfn.XLOOKUP(orders!C955,customers!$A$1:$A$1001,customers!$B$1:$B$1001,,0)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9">
        <f>INDEX(products!$A$1:$G$49,MATCH(orders!$D955,products!$A$1:$A$49,0),MATCH(orders!K$1,products!$A$1:$G$1,0))</f>
        <v>0.2</v>
      </c>
      <c r="L955" s="10">
        <f>INDEX(products!$A$1:$G$49,MATCH(orders!$D955,products!$A$1:$A$49,0),MATCH(orders!L$1,products!$A$1:$G$1,0))</f>
        <v>3.8849999999999998</v>
      </c>
      <c r="M955" s="10">
        <f t="shared" si="42"/>
        <v>3.8849999999999998</v>
      </c>
      <c r="N955" t="str">
        <f t="shared" si="43"/>
        <v>Arabica</v>
      </c>
      <c r="O955" t="str">
        <f t="shared" si="44"/>
        <v>Light</v>
      </c>
      <c r="P955" t="str">
        <f>_xlfn.XLOOKUP(Table1[[#This Row],[Customer ID]],customers!$A$1:$A$1001,customers!$I$1:$I$1001,,0)</f>
        <v>Yes</v>
      </c>
    </row>
    <row r="956" spans="1:16" x14ac:dyDescent="0.25">
      <c r="A956" s="2" t="s">
        <v>5884</v>
      </c>
      <c r="B956" s="8">
        <v>44722</v>
      </c>
      <c r="C956" s="2" t="s">
        <v>5764</v>
      </c>
      <c r="D956" t="s">
        <v>6185</v>
      </c>
      <c r="E956" s="2">
        <v>1</v>
      </c>
      <c r="F956" s="2" t="str">
        <f>_xlfn.XLOOKUP(orders!C956,customers!$A$1:$A$1001,customers!$B$1:$B$1001,,0)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9">
        <f>INDEX(products!$A$1:$G$49,MATCH(orders!$D956,products!$A$1:$A$49,0),MATCH(orders!K$1,products!$A$1:$G$1,0))</f>
        <v>2.5</v>
      </c>
      <c r="L956" s="10">
        <f>INDEX(products!$A$1:$G$49,MATCH(orders!$D956,products!$A$1:$A$49,0),MATCH(orders!L$1,products!$A$1:$G$1,0))</f>
        <v>27.945</v>
      </c>
      <c r="M956" s="10">
        <f t="shared" si="42"/>
        <v>27.945</v>
      </c>
      <c r="N956" t="str">
        <f t="shared" si="43"/>
        <v>Excelsa</v>
      </c>
      <c r="O956" t="str">
        <f t="shared" si="44"/>
        <v>Dark</v>
      </c>
      <c r="P956" t="str">
        <f>_xlfn.XLOOKUP(Table1[[#This Row],[Customer ID]],customers!$A$1:$A$1001,customers!$I$1:$I$1001,,0)</f>
        <v>Yes</v>
      </c>
    </row>
    <row r="957" spans="1:16" x14ac:dyDescent="0.25">
      <c r="A957" s="2" t="s">
        <v>5890</v>
      </c>
      <c r="B957" s="8">
        <v>43582</v>
      </c>
      <c r="C957" s="2" t="s">
        <v>5764</v>
      </c>
      <c r="D957" t="s">
        <v>6148</v>
      </c>
      <c r="E957" s="2">
        <v>5</v>
      </c>
      <c r="F957" s="2" t="str">
        <f>_xlfn.XLOOKUP(orders!C957,customers!$A$1:$A$1001,customers!$B$1:$B$1001,,0)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9">
        <f>INDEX(products!$A$1:$G$49,MATCH(orders!$D957,products!$A$1:$A$49,0),MATCH(orders!K$1,products!$A$1:$G$1,0))</f>
        <v>2.5</v>
      </c>
      <c r="L957" s="10">
        <f>INDEX(products!$A$1:$G$49,MATCH(orders!$D957,products!$A$1:$A$49,0),MATCH(orders!L$1,products!$A$1:$G$1,0))</f>
        <v>34.154999999999994</v>
      </c>
      <c r="M957" s="10">
        <f t="shared" si="42"/>
        <v>170.77499999999998</v>
      </c>
      <c r="N957" t="str">
        <f t="shared" si="43"/>
        <v>Excelsa</v>
      </c>
      <c r="O957" t="str">
        <f t="shared" si="44"/>
        <v>Light</v>
      </c>
      <c r="P957" t="str">
        <f>_xlfn.XLOOKUP(Table1[[#This Row],[Customer ID]],customers!$A$1:$A$1001,customers!$I$1:$I$1001,,0)</f>
        <v>Yes</v>
      </c>
    </row>
    <row r="958" spans="1:16" x14ac:dyDescent="0.25">
      <c r="A958" s="2" t="s">
        <v>5890</v>
      </c>
      <c r="B958" s="8">
        <v>43582</v>
      </c>
      <c r="C958" s="2" t="s">
        <v>5764</v>
      </c>
      <c r="D958" t="s">
        <v>6142</v>
      </c>
      <c r="E958" s="2">
        <v>2</v>
      </c>
      <c r="F958" s="2" t="str">
        <f>_xlfn.XLOOKUP(orders!C958,customers!$A$1:$A$1001,customers!$B$1:$B$1001,,0)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9">
        <f>INDEX(products!$A$1:$G$49,MATCH(orders!$D958,products!$A$1:$A$49,0),MATCH(orders!K$1,products!$A$1:$G$1,0))</f>
        <v>2.5</v>
      </c>
      <c r="L958" s="10">
        <f>INDEX(products!$A$1:$G$49,MATCH(orders!$D958,products!$A$1:$A$49,0),MATCH(orders!L$1,products!$A$1:$G$1,0))</f>
        <v>27.484999999999996</v>
      </c>
      <c r="M958" s="10">
        <f t="shared" si="42"/>
        <v>54.969999999999992</v>
      </c>
      <c r="N958" t="str">
        <f t="shared" si="43"/>
        <v>Robusta</v>
      </c>
      <c r="O958" t="str">
        <f t="shared" si="44"/>
        <v>Light</v>
      </c>
      <c r="P958" t="str">
        <f>_xlfn.XLOOKUP(Table1[[#This Row],[Customer ID]],customers!$A$1:$A$1001,customers!$I$1:$I$1001,,0)</f>
        <v>Yes</v>
      </c>
    </row>
    <row r="959" spans="1:16" x14ac:dyDescent="0.25">
      <c r="A959" s="2" t="s">
        <v>5890</v>
      </c>
      <c r="B959" s="8">
        <v>43582</v>
      </c>
      <c r="C959" s="2" t="s">
        <v>5764</v>
      </c>
      <c r="D959" t="s">
        <v>6171</v>
      </c>
      <c r="E959" s="2">
        <v>1</v>
      </c>
      <c r="F959" s="2" t="str">
        <f>_xlfn.XLOOKUP(orders!C959,customers!$A$1:$A$1001,customers!$B$1:$B$1001,,0)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9">
        <f>INDEX(products!$A$1:$G$49,MATCH(orders!$D959,products!$A$1:$A$49,0),MATCH(orders!K$1,products!$A$1:$G$1,0))</f>
        <v>1</v>
      </c>
      <c r="L959" s="10">
        <f>INDEX(products!$A$1:$G$49,MATCH(orders!$D959,products!$A$1:$A$49,0),MATCH(orders!L$1,products!$A$1:$G$1,0))</f>
        <v>14.85</v>
      </c>
      <c r="M959" s="10">
        <f t="shared" si="42"/>
        <v>14.85</v>
      </c>
      <c r="N959" t="str">
        <f t="shared" si="43"/>
        <v>Excelsa</v>
      </c>
      <c r="O959" t="str">
        <f t="shared" si="44"/>
        <v>Light</v>
      </c>
      <c r="P959" t="str">
        <f>_xlfn.XLOOKUP(Table1[[#This Row],[Customer ID]],customers!$A$1:$A$1001,customers!$I$1:$I$1001,,0)</f>
        <v>Yes</v>
      </c>
    </row>
    <row r="960" spans="1:16" x14ac:dyDescent="0.25">
      <c r="A960" s="2" t="s">
        <v>5890</v>
      </c>
      <c r="B960" s="8">
        <v>43582</v>
      </c>
      <c r="C960" s="2" t="s">
        <v>5764</v>
      </c>
      <c r="D960" t="s">
        <v>6167</v>
      </c>
      <c r="E960" s="2">
        <v>2</v>
      </c>
      <c r="F960" s="2" t="str">
        <f>_xlfn.XLOOKUP(orders!C960,customers!$A$1:$A$1001,customers!$B$1:$B$1001,,0)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9">
        <f>INDEX(products!$A$1:$G$49,MATCH(orders!$D960,products!$A$1:$A$49,0),MATCH(orders!K$1,products!$A$1:$G$1,0))</f>
        <v>0.2</v>
      </c>
      <c r="L960" s="10">
        <f>INDEX(products!$A$1:$G$49,MATCH(orders!$D960,products!$A$1:$A$49,0),MATCH(orders!L$1,products!$A$1:$G$1,0))</f>
        <v>3.8849999999999998</v>
      </c>
      <c r="M960" s="10">
        <f t="shared" si="42"/>
        <v>7.77</v>
      </c>
      <c r="N960" t="str">
        <f t="shared" si="43"/>
        <v>Arabica</v>
      </c>
      <c r="O960" t="str">
        <f t="shared" si="44"/>
        <v>Light</v>
      </c>
      <c r="P960" t="str">
        <f>_xlfn.XLOOKUP(Table1[[#This Row],[Customer ID]],customers!$A$1:$A$1001,customers!$I$1:$I$1001,,0)</f>
        <v>Yes</v>
      </c>
    </row>
    <row r="961" spans="1:16" x14ac:dyDescent="0.25">
      <c r="A961" s="2" t="s">
        <v>5910</v>
      </c>
      <c r="B961" s="8">
        <v>44598</v>
      </c>
      <c r="C961" s="2" t="s">
        <v>5911</v>
      </c>
      <c r="D961" t="s">
        <v>6145</v>
      </c>
      <c r="E961" s="2">
        <v>5</v>
      </c>
      <c r="F961" s="2" t="str">
        <f>_xlfn.XLOOKUP(orders!C961,customers!$A$1:$A$1001,customers!$B$1:$B$1001,,0)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9">
        <f>INDEX(products!$A$1:$G$49,MATCH(orders!$D961,products!$A$1:$A$49,0),MATCH(orders!K$1,products!$A$1:$G$1,0))</f>
        <v>0.2</v>
      </c>
      <c r="L961" s="10">
        <f>INDEX(products!$A$1:$G$49,MATCH(orders!$D961,products!$A$1:$A$49,0),MATCH(orders!L$1,products!$A$1:$G$1,0))</f>
        <v>4.7549999999999999</v>
      </c>
      <c r="M961" s="10">
        <f t="shared" si="42"/>
        <v>23.774999999999999</v>
      </c>
      <c r="N961" t="str">
        <f t="shared" si="43"/>
        <v>Liberica</v>
      </c>
      <c r="O961" t="str">
        <f t="shared" si="44"/>
        <v>Light</v>
      </c>
      <c r="P961" t="str">
        <f>_xlfn.XLOOKUP(Table1[[#This Row],[Customer ID]],customers!$A$1:$A$1001,customers!$I$1:$I$1001,,0)</f>
        <v>Yes</v>
      </c>
    </row>
    <row r="962" spans="1:16" x14ac:dyDescent="0.25">
      <c r="A962" s="2" t="s">
        <v>5915</v>
      </c>
      <c r="B962" s="8">
        <v>44591</v>
      </c>
      <c r="C962" s="2" t="s">
        <v>5916</v>
      </c>
      <c r="D962" t="s">
        <v>6170</v>
      </c>
      <c r="E962" s="2">
        <v>5</v>
      </c>
      <c r="F962" s="2" t="str">
        <f>_xlfn.XLOOKUP(orders!C962,customers!$A$1:$A$1001,customers!$B$1:$B$1001,,0)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9">
        <f>INDEX(products!$A$1:$G$49,MATCH(orders!$D962,products!$A$1:$A$49,0),MATCH(orders!K$1,products!$A$1:$G$1,0))</f>
        <v>1</v>
      </c>
      <c r="L962" s="10">
        <f>INDEX(products!$A$1:$G$49,MATCH(orders!$D962,products!$A$1:$A$49,0),MATCH(orders!L$1,products!$A$1:$G$1,0))</f>
        <v>15.85</v>
      </c>
      <c r="M962" s="10">
        <f t="shared" si="42"/>
        <v>79.25</v>
      </c>
      <c r="N962" t="str">
        <f t="shared" si="43"/>
        <v>Liberica</v>
      </c>
      <c r="O962" t="str">
        <f t="shared" si="44"/>
        <v>Light</v>
      </c>
      <c r="P962" t="str">
        <f>_xlfn.XLOOKUP(Table1[[#This Row],[Customer ID]],customers!$A$1:$A$1001,customers!$I$1:$I$1001,,0)</f>
        <v>Yes</v>
      </c>
    </row>
    <row r="963" spans="1:16" x14ac:dyDescent="0.25">
      <c r="A963" s="2" t="s">
        <v>5921</v>
      </c>
      <c r="B963" s="8">
        <v>44158</v>
      </c>
      <c r="C963" s="2" t="s">
        <v>5922</v>
      </c>
      <c r="D963" t="s">
        <v>6168</v>
      </c>
      <c r="E963" s="2">
        <v>2</v>
      </c>
      <c r="F963" s="2" t="str">
        <f>_xlfn.XLOOKUP(orders!C963,customers!$A$1:$A$1001,customers!$B$1:$B$1001,,0)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9">
        <f>INDEX(products!$A$1:$G$49,MATCH(orders!$D963,products!$A$1:$A$49,0),MATCH(orders!K$1,products!$A$1:$G$1,0))</f>
        <v>2.5</v>
      </c>
      <c r="L963" s="10">
        <f>INDEX(products!$A$1:$G$49,MATCH(orders!$D963,products!$A$1:$A$49,0),MATCH(orders!L$1,products!$A$1:$G$1,0))</f>
        <v>22.884999999999998</v>
      </c>
      <c r="M963" s="10">
        <f t="shared" ref="M963:M1001" si="45">L963*E963</f>
        <v>45.769999999999996</v>
      </c>
      <c r="N963" t="str">
        <f t="shared" ref="N963:N1001" si="46">IF(I963="Rob", "Robusta", IF(I963="Exc","Excelsa", IF(I963="Ara","Arabica", IF(I963="Lib","Liberica",""))))</f>
        <v>Arabica</v>
      </c>
      <c r="O963" t="str">
        <f t="shared" ref="O963:O1001" si="47">IF(J963="M", "Medium", IF(J963="L","Light",IF(J963="D","Dark","")))</f>
        <v>Dark</v>
      </c>
      <c r="P963" t="str">
        <f>_xlfn.XLOOKUP(Table1[[#This Row],[Customer ID]],customers!$A$1:$A$1001,customers!$I$1:$I$1001,,0)</f>
        <v>Yes</v>
      </c>
    </row>
    <row r="964" spans="1:16" x14ac:dyDescent="0.25">
      <c r="A964" s="2" t="s">
        <v>5926</v>
      </c>
      <c r="B964" s="8">
        <v>44664</v>
      </c>
      <c r="C964" s="2" t="s">
        <v>5927</v>
      </c>
      <c r="D964" t="s">
        <v>6177</v>
      </c>
      <c r="E964" s="2">
        <v>1</v>
      </c>
      <c r="F964" s="2" t="str">
        <f>_xlfn.XLOOKUP(orders!C964,customers!$A$1:$A$1001,customers!$B$1:$B$1001,,0)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9">
        <f>INDEX(products!$A$1:$G$49,MATCH(orders!$D964,products!$A$1:$A$49,0),MATCH(orders!K$1,products!$A$1:$G$1,0))</f>
        <v>1</v>
      </c>
      <c r="L964" s="10">
        <f>INDEX(products!$A$1:$G$49,MATCH(orders!$D964,products!$A$1:$A$49,0),MATCH(orders!L$1,products!$A$1:$G$1,0))</f>
        <v>8.9499999999999993</v>
      </c>
      <c r="M964" s="10">
        <f t="shared" si="45"/>
        <v>8.9499999999999993</v>
      </c>
      <c r="N964" t="str">
        <f t="shared" si="46"/>
        <v>Robusta</v>
      </c>
      <c r="O964" t="str">
        <f t="shared" si="47"/>
        <v>Dark</v>
      </c>
      <c r="P964" t="str">
        <f>_xlfn.XLOOKUP(Table1[[#This Row],[Customer ID]],customers!$A$1:$A$1001,customers!$I$1:$I$1001,,0)</f>
        <v>Yes</v>
      </c>
    </row>
    <row r="965" spans="1:16" x14ac:dyDescent="0.25">
      <c r="A965" s="2" t="s">
        <v>5932</v>
      </c>
      <c r="B965" s="8">
        <v>44203</v>
      </c>
      <c r="C965" s="2" t="s">
        <v>5933</v>
      </c>
      <c r="D965" t="s">
        <v>6146</v>
      </c>
      <c r="E965" s="2">
        <v>4</v>
      </c>
      <c r="F965" s="2" t="str">
        <f>_xlfn.XLOOKUP(orders!C965,customers!$A$1:$A$1001,customers!$B$1:$B$1001,,0)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9">
        <f>INDEX(products!$A$1:$G$49,MATCH(orders!$D965,products!$A$1:$A$49,0),MATCH(orders!K$1,products!$A$1:$G$1,0))</f>
        <v>0.5</v>
      </c>
      <c r="L965" s="10">
        <f>INDEX(products!$A$1:$G$49,MATCH(orders!$D965,products!$A$1:$A$49,0),MATCH(orders!L$1,products!$A$1:$G$1,0))</f>
        <v>5.97</v>
      </c>
      <c r="M965" s="10">
        <f t="shared" si="45"/>
        <v>23.88</v>
      </c>
      <c r="N965" t="str">
        <f t="shared" si="46"/>
        <v>Robusta</v>
      </c>
      <c r="O965" t="str">
        <f t="shared" si="47"/>
        <v>Medium</v>
      </c>
      <c r="P965" t="str">
        <f>_xlfn.XLOOKUP(Table1[[#This Row],[Customer ID]],customers!$A$1:$A$1001,customers!$I$1:$I$1001,,0)</f>
        <v>Yes</v>
      </c>
    </row>
    <row r="966" spans="1:16" x14ac:dyDescent="0.25">
      <c r="A966" s="2" t="s">
        <v>5938</v>
      </c>
      <c r="B966" s="8">
        <v>43865</v>
      </c>
      <c r="C966" s="2" t="s">
        <v>5939</v>
      </c>
      <c r="D966" t="s">
        <v>6184</v>
      </c>
      <c r="E966" s="2">
        <v>5</v>
      </c>
      <c r="F966" s="2" t="str">
        <f>_xlfn.XLOOKUP(orders!C966,customers!$A$1:$A$1001,customers!$B$1:$B$1001,,0)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9">
        <f>INDEX(products!$A$1:$G$49,MATCH(orders!$D966,products!$A$1:$A$49,0),MATCH(orders!K$1,products!$A$1:$G$1,0))</f>
        <v>0.2</v>
      </c>
      <c r="L966" s="10">
        <f>INDEX(products!$A$1:$G$49,MATCH(orders!$D966,products!$A$1:$A$49,0),MATCH(orders!L$1,products!$A$1:$G$1,0))</f>
        <v>4.4550000000000001</v>
      </c>
      <c r="M966" s="10">
        <f t="shared" si="45"/>
        <v>22.274999999999999</v>
      </c>
      <c r="N966" t="str">
        <f t="shared" si="46"/>
        <v>Excelsa</v>
      </c>
      <c r="O966" t="str">
        <f t="shared" si="47"/>
        <v>Light</v>
      </c>
      <c r="P966" t="str">
        <f>_xlfn.XLOOKUP(Table1[[#This Row],[Customer ID]],customers!$A$1:$A$1001,customers!$I$1:$I$1001,,0)</f>
        <v>No</v>
      </c>
    </row>
    <row r="967" spans="1:16" x14ac:dyDescent="0.25">
      <c r="A967" s="2" t="s">
        <v>5944</v>
      </c>
      <c r="B967" s="8">
        <v>43724</v>
      </c>
      <c r="C967" s="2" t="s">
        <v>5945</v>
      </c>
      <c r="D967" t="s">
        <v>6138</v>
      </c>
      <c r="E967" s="2">
        <v>3</v>
      </c>
      <c r="F967" s="2" t="str">
        <f>_xlfn.XLOOKUP(orders!C967,customers!$A$1:$A$1001,customers!$B$1:$B$1001,,0)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9">
        <f>INDEX(products!$A$1:$G$49,MATCH(orders!$D967,products!$A$1:$A$49,0),MATCH(orders!K$1,products!$A$1:$G$1,0))</f>
        <v>1</v>
      </c>
      <c r="L967" s="10">
        <f>INDEX(products!$A$1:$G$49,MATCH(orders!$D967,products!$A$1:$A$49,0),MATCH(orders!L$1,products!$A$1:$G$1,0))</f>
        <v>9.9499999999999993</v>
      </c>
      <c r="M967" s="10">
        <f t="shared" si="45"/>
        <v>29.849999999999998</v>
      </c>
      <c r="N967" t="str">
        <f t="shared" si="46"/>
        <v>Robusta</v>
      </c>
      <c r="O967" t="str">
        <f t="shared" si="47"/>
        <v>Medium</v>
      </c>
      <c r="P967" t="str">
        <f>_xlfn.XLOOKUP(Table1[[#This Row],[Customer ID]],customers!$A$1:$A$1001,customers!$I$1:$I$1001,,0)</f>
        <v>Yes</v>
      </c>
    </row>
    <row r="968" spans="1:16" x14ac:dyDescent="0.25">
      <c r="A968" s="2" t="s">
        <v>5949</v>
      </c>
      <c r="B968" s="8">
        <v>43491</v>
      </c>
      <c r="C968" s="2" t="s">
        <v>5950</v>
      </c>
      <c r="D968" t="s">
        <v>6176</v>
      </c>
      <c r="E968" s="2">
        <v>6</v>
      </c>
      <c r="F968" s="2" t="str">
        <f>_xlfn.XLOOKUP(orders!C968,customers!$A$1:$A$1001,customers!$B$1:$B$1001,,0)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9">
        <f>INDEX(products!$A$1:$G$49,MATCH(orders!$D968,products!$A$1:$A$49,0),MATCH(orders!K$1,products!$A$1:$G$1,0))</f>
        <v>0.5</v>
      </c>
      <c r="L968" s="10">
        <f>INDEX(products!$A$1:$G$49,MATCH(orders!$D968,products!$A$1:$A$49,0),MATCH(orders!L$1,products!$A$1:$G$1,0))</f>
        <v>8.91</v>
      </c>
      <c r="M968" s="10">
        <f t="shared" si="45"/>
        <v>53.46</v>
      </c>
      <c r="N968" t="str">
        <f t="shared" si="46"/>
        <v>Excelsa</v>
      </c>
      <c r="O968" t="str">
        <f t="shared" si="47"/>
        <v>Light</v>
      </c>
      <c r="P968" t="str">
        <f>_xlfn.XLOOKUP(Table1[[#This Row],[Customer ID]],customers!$A$1:$A$1001,customers!$I$1:$I$1001,,0)</f>
        <v>Yes</v>
      </c>
    </row>
    <row r="969" spans="1:16" x14ac:dyDescent="0.25">
      <c r="A969" s="2" t="s">
        <v>5955</v>
      </c>
      <c r="B969" s="8">
        <v>44246</v>
      </c>
      <c r="C969" s="2" t="s">
        <v>5956</v>
      </c>
      <c r="D969" t="s">
        <v>6163</v>
      </c>
      <c r="E969" s="2">
        <v>1</v>
      </c>
      <c r="F969" s="2" t="str">
        <f>_xlfn.XLOOKUP(orders!C969,customers!$A$1:$A$1001,customers!$B$1:$B$1001,,0)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9">
        <f>INDEX(products!$A$1:$G$49,MATCH(orders!$D969,products!$A$1:$A$49,0),MATCH(orders!K$1,products!$A$1:$G$1,0))</f>
        <v>0.2</v>
      </c>
      <c r="L969" s="10">
        <f>INDEX(products!$A$1:$G$49,MATCH(orders!$D969,products!$A$1:$A$49,0),MATCH(orders!L$1,products!$A$1:$G$1,0))</f>
        <v>2.6849999999999996</v>
      </c>
      <c r="M969" s="10">
        <f t="shared" si="45"/>
        <v>2.6849999999999996</v>
      </c>
      <c r="N969" t="str">
        <f t="shared" si="46"/>
        <v>Robusta</v>
      </c>
      <c r="O969" t="str">
        <f t="shared" si="47"/>
        <v>Dark</v>
      </c>
      <c r="P969" t="str">
        <f>_xlfn.XLOOKUP(Table1[[#This Row],[Customer ID]],customers!$A$1:$A$1001,customers!$I$1:$I$1001,,0)</f>
        <v>Yes</v>
      </c>
    </row>
    <row r="970" spans="1:16" x14ac:dyDescent="0.25">
      <c r="A970" s="2" t="s">
        <v>5961</v>
      </c>
      <c r="B970" s="8">
        <v>44642</v>
      </c>
      <c r="C970" s="2" t="s">
        <v>5962</v>
      </c>
      <c r="D970" t="s">
        <v>6174</v>
      </c>
      <c r="E970" s="2">
        <v>2</v>
      </c>
      <c r="F970" s="2" t="str">
        <f>_xlfn.XLOOKUP(orders!C970,customers!$A$1:$A$1001,customers!$B$1:$B$1001,,0)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9">
        <f>INDEX(products!$A$1:$G$49,MATCH(orders!$D970,products!$A$1:$A$49,0),MATCH(orders!K$1,products!$A$1:$G$1,0))</f>
        <v>0.2</v>
      </c>
      <c r="L970" s="10">
        <f>INDEX(products!$A$1:$G$49,MATCH(orders!$D970,products!$A$1:$A$49,0),MATCH(orders!L$1,products!$A$1:$G$1,0))</f>
        <v>2.9849999999999999</v>
      </c>
      <c r="M970" s="10">
        <f t="shared" si="45"/>
        <v>5.97</v>
      </c>
      <c r="N970" t="str">
        <f t="shared" si="46"/>
        <v>Robusta</v>
      </c>
      <c r="O970" t="str">
        <f t="shared" si="47"/>
        <v>Medium</v>
      </c>
      <c r="P970" t="str">
        <f>_xlfn.XLOOKUP(Table1[[#This Row],[Customer ID]],customers!$A$1:$A$1001,customers!$I$1:$I$1001,,0)</f>
        <v>No</v>
      </c>
    </row>
    <row r="971" spans="1:16" x14ac:dyDescent="0.25">
      <c r="A971" s="2" t="s">
        <v>5967</v>
      </c>
      <c r="B971" s="8">
        <v>43649</v>
      </c>
      <c r="C971" s="2" t="s">
        <v>5968</v>
      </c>
      <c r="D971" t="s">
        <v>6143</v>
      </c>
      <c r="E971" s="2">
        <v>1</v>
      </c>
      <c r="F971" s="2" t="str">
        <f>_xlfn.XLOOKUP(orders!C971,customers!$A$1:$A$1001,customers!$B$1:$B$1001,,0)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9">
        <f>INDEX(products!$A$1:$G$49,MATCH(orders!$D971,products!$A$1:$A$49,0),MATCH(orders!K$1,products!$A$1:$G$1,0))</f>
        <v>1</v>
      </c>
      <c r="L971" s="10">
        <f>INDEX(products!$A$1:$G$49,MATCH(orders!$D971,products!$A$1:$A$49,0),MATCH(orders!L$1,products!$A$1:$G$1,0))</f>
        <v>12.95</v>
      </c>
      <c r="M971" s="10">
        <f t="shared" si="45"/>
        <v>12.95</v>
      </c>
      <c r="N971" t="str">
        <f t="shared" si="46"/>
        <v>Liberica</v>
      </c>
      <c r="O971" t="str">
        <f t="shared" si="47"/>
        <v>Dark</v>
      </c>
      <c r="P971" t="str">
        <f>_xlfn.XLOOKUP(Table1[[#This Row],[Customer ID]],customers!$A$1:$A$1001,customers!$I$1:$I$1001,,0)</f>
        <v>Yes</v>
      </c>
    </row>
    <row r="972" spans="1:16" x14ac:dyDescent="0.25">
      <c r="A972" s="2" t="s">
        <v>5973</v>
      </c>
      <c r="B972" s="8">
        <v>43729</v>
      </c>
      <c r="C972" s="2" t="s">
        <v>5974</v>
      </c>
      <c r="D972" t="s">
        <v>6139</v>
      </c>
      <c r="E972" s="2">
        <v>1</v>
      </c>
      <c r="F972" s="2" t="str">
        <f>_xlfn.XLOOKUP(orders!C972,customers!$A$1:$A$1001,customers!$B$1:$B$1001,,0)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9">
        <f>INDEX(products!$A$1:$G$49,MATCH(orders!$D972,products!$A$1:$A$49,0),MATCH(orders!K$1,products!$A$1:$G$1,0))</f>
        <v>0.5</v>
      </c>
      <c r="L972" s="10">
        <f>INDEX(products!$A$1:$G$49,MATCH(orders!$D972,products!$A$1:$A$49,0),MATCH(orders!L$1,products!$A$1:$G$1,0))</f>
        <v>8.25</v>
      </c>
      <c r="M972" s="10">
        <f t="shared" si="45"/>
        <v>8.25</v>
      </c>
      <c r="N972" t="str">
        <f t="shared" si="46"/>
        <v>Excelsa</v>
      </c>
      <c r="O972" t="str">
        <f t="shared" si="47"/>
        <v>Medium</v>
      </c>
      <c r="P972" t="str">
        <f>_xlfn.XLOOKUP(Table1[[#This Row],[Customer ID]],customers!$A$1:$A$1001,customers!$I$1:$I$1001,,0)</f>
        <v>No</v>
      </c>
    </row>
    <row r="973" spans="1:16" x14ac:dyDescent="0.25">
      <c r="A973" s="2" t="s">
        <v>5978</v>
      </c>
      <c r="B973" s="8">
        <v>43703</v>
      </c>
      <c r="C973" s="2" t="s">
        <v>5979</v>
      </c>
      <c r="D973" t="s">
        <v>6182</v>
      </c>
      <c r="E973" s="2">
        <v>5</v>
      </c>
      <c r="F973" s="2" t="str">
        <f>_xlfn.XLOOKUP(orders!C973,customers!$A$1:$A$1001,customers!$B$1:$B$1001,,0)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9">
        <f>INDEX(products!$A$1:$G$49,MATCH(orders!$D973,products!$A$1:$A$49,0),MATCH(orders!K$1,products!$A$1:$G$1,0))</f>
        <v>2.5</v>
      </c>
      <c r="L973" s="10">
        <f>INDEX(products!$A$1:$G$49,MATCH(orders!$D973,products!$A$1:$A$49,0),MATCH(orders!L$1,products!$A$1:$G$1,0))</f>
        <v>29.784999999999997</v>
      </c>
      <c r="M973" s="10">
        <f t="shared" si="45"/>
        <v>148.92499999999998</v>
      </c>
      <c r="N973" t="str">
        <f t="shared" si="46"/>
        <v>Arabica</v>
      </c>
      <c r="O973" t="str">
        <f t="shared" si="47"/>
        <v>Light</v>
      </c>
      <c r="P973" t="str">
        <f>_xlfn.XLOOKUP(Table1[[#This Row],[Customer ID]],customers!$A$1:$A$1001,customers!$I$1:$I$1001,,0)</f>
        <v>No</v>
      </c>
    </row>
    <row r="974" spans="1:16" x14ac:dyDescent="0.25">
      <c r="A974" s="2" t="s">
        <v>5984</v>
      </c>
      <c r="B974" s="8">
        <v>44411</v>
      </c>
      <c r="C974" s="2" t="s">
        <v>5985</v>
      </c>
      <c r="D974" t="s">
        <v>6182</v>
      </c>
      <c r="E974" s="2">
        <v>3</v>
      </c>
      <c r="F974" s="2" t="str">
        <f>_xlfn.XLOOKUP(orders!C974,customers!$A$1:$A$1001,customers!$B$1:$B$1001,,0)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9">
        <f>INDEX(products!$A$1:$G$49,MATCH(orders!$D974,products!$A$1:$A$49,0),MATCH(orders!K$1,products!$A$1:$G$1,0))</f>
        <v>2.5</v>
      </c>
      <c r="L974" s="10">
        <f>INDEX(products!$A$1:$G$49,MATCH(orders!$D974,products!$A$1:$A$49,0),MATCH(orders!L$1,products!$A$1:$G$1,0))</f>
        <v>29.784999999999997</v>
      </c>
      <c r="M974" s="10">
        <f t="shared" si="45"/>
        <v>89.35499999999999</v>
      </c>
      <c r="N974" t="str">
        <f t="shared" si="46"/>
        <v>Arabica</v>
      </c>
      <c r="O974" t="str">
        <f t="shared" si="47"/>
        <v>Light</v>
      </c>
      <c r="P974" t="str">
        <f>_xlfn.XLOOKUP(Table1[[#This Row],[Customer ID]],customers!$A$1:$A$1001,customers!$I$1:$I$1001,,0)</f>
        <v>Yes</v>
      </c>
    </row>
    <row r="975" spans="1:16" x14ac:dyDescent="0.25">
      <c r="A975" s="2" t="s">
        <v>5989</v>
      </c>
      <c r="B975" s="8">
        <v>44493</v>
      </c>
      <c r="C975" s="2" t="s">
        <v>5990</v>
      </c>
      <c r="D975" t="s">
        <v>6162</v>
      </c>
      <c r="E975" s="2">
        <v>6</v>
      </c>
      <c r="F975" s="2" t="str">
        <f>_xlfn.XLOOKUP(orders!C975,customers!$A$1:$A$1001,customers!$B$1:$B$1001,,0)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9">
        <f>INDEX(products!$A$1:$G$49,MATCH(orders!$D975,products!$A$1:$A$49,0),MATCH(orders!K$1,products!$A$1:$G$1,0))</f>
        <v>1</v>
      </c>
      <c r="L975" s="10">
        <f>INDEX(products!$A$1:$G$49,MATCH(orders!$D975,products!$A$1:$A$49,0),MATCH(orders!L$1,products!$A$1:$G$1,0))</f>
        <v>14.55</v>
      </c>
      <c r="M975" s="10">
        <f t="shared" si="45"/>
        <v>87.300000000000011</v>
      </c>
      <c r="N975" t="str">
        <f t="shared" si="46"/>
        <v>Liberica</v>
      </c>
      <c r="O975" t="str">
        <f t="shared" si="47"/>
        <v>Medium</v>
      </c>
      <c r="P975" t="str">
        <f>_xlfn.XLOOKUP(Table1[[#This Row],[Customer ID]],customers!$A$1:$A$1001,customers!$I$1:$I$1001,,0)</f>
        <v>No</v>
      </c>
    </row>
    <row r="976" spans="1:16" x14ac:dyDescent="0.25">
      <c r="A976" s="2" t="s">
        <v>5995</v>
      </c>
      <c r="B976" s="8">
        <v>43556</v>
      </c>
      <c r="C976" s="2" t="s">
        <v>5996</v>
      </c>
      <c r="D976" t="s">
        <v>6172</v>
      </c>
      <c r="E976" s="2">
        <v>1</v>
      </c>
      <c r="F976" s="2" t="str">
        <f>_xlfn.XLOOKUP(orders!C976,customers!$A$1:$A$1001,customers!$B$1:$B$1001,,0)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9">
        <f>INDEX(products!$A$1:$G$49,MATCH(orders!$D976,products!$A$1:$A$49,0),MATCH(orders!K$1,products!$A$1:$G$1,0))</f>
        <v>0.5</v>
      </c>
      <c r="L976" s="10">
        <f>INDEX(products!$A$1:$G$49,MATCH(orders!$D976,products!$A$1:$A$49,0),MATCH(orders!L$1,products!$A$1:$G$1,0))</f>
        <v>5.3699999999999992</v>
      </c>
      <c r="M976" s="10">
        <f t="shared" si="45"/>
        <v>5.3699999999999992</v>
      </c>
      <c r="N976" t="str">
        <f t="shared" si="46"/>
        <v>Robusta</v>
      </c>
      <c r="O976" t="str">
        <f t="shared" si="47"/>
        <v>Dark</v>
      </c>
      <c r="P976" t="str">
        <f>_xlfn.XLOOKUP(Table1[[#This Row],[Customer ID]],customers!$A$1:$A$1001,customers!$I$1:$I$1001,,0)</f>
        <v>Yes</v>
      </c>
    </row>
    <row r="977" spans="1:16" x14ac:dyDescent="0.25">
      <c r="A977" s="2" t="s">
        <v>6001</v>
      </c>
      <c r="B977" s="8">
        <v>44538</v>
      </c>
      <c r="C977" s="2" t="s">
        <v>6002</v>
      </c>
      <c r="D977" t="s">
        <v>6154</v>
      </c>
      <c r="E977" s="2">
        <v>3</v>
      </c>
      <c r="F977" s="2" t="str">
        <f>_xlfn.XLOOKUP(orders!C977,customers!$A$1:$A$1001,customers!$B$1:$B$1001,,0)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9">
        <f>INDEX(products!$A$1:$G$49,MATCH(orders!$D977,products!$A$1:$A$49,0),MATCH(orders!K$1,products!$A$1:$G$1,0))</f>
        <v>0.2</v>
      </c>
      <c r="L977" s="10">
        <f>INDEX(products!$A$1:$G$49,MATCH(orders!$D977,products!$A$1:$A$49,0),MATCH(orders!L$1,products!$A$1:$G$1,0))</f>
        <v>2.9849999999999999</v>
      </c>
      <c r="M977" s="10">
        <f t="shared" si="45"/>
        <v>8.9550000000000001</v>
      </c>
      <c r="N977" t="str">
        <f t="shared" si="46"/>
        <v>Arabica</v>
      </c>
      <c r="O977" t="str">
        <f t="shared" si="47"/>
        <v>Dark</v>
      </c>
      <c r="P977" t="str">
        <f>_xlfn.XLOOKUP(Table1[[#This Row],[Customer ID]],customers!$A$1:$A$1001,customers!$I$1:$I$1001,,0)</f>
        <v>Yes</v>
      </c>
    </row>
    <row r="978" spans="1:16" x14ac:dyDescent="0.25">
      <c r="A978" s="2" t="s">
        <v>6007</v>
      </c>
      <c r="B978" s="8">
        <v>43643</v>
      </c>
      <c r="C978" s="2" t="s">
        <v>6008</v>
      </c>
      <c r="D978" t="s">
        <v>6142</v>
      </c>
      <c r="E978" s="2">
        <v>5</v>
      </c>
      <c r="F978" s="2" t="str">
        <f>_xlfn.XLOOKUP(orders!C978,customers!$A$1:$A$1001,customers!$B$1:$B$1001,,0)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9">
        <f>INDEX(products!$A$1:$G$49,MATCH(orders!$D978,products!$A$1:$A$49,0),MATCH(orders!K$1,products!$A$1:$G$1,0))</f>
        <v>2.5</v>
      </c>
      <c r="L978" s="10">
        <f>INDEX(products!$A$1:$G$49,MATCH(orders!$D978,products!$A$1:$A$49,0),MATCH(orders!L$1,products!$A$1:$G$1,0))</f>
        <v>27.484999999999996</v>
      </c>
      <c r="M978" s="10">
        <f t="shared" si="45"/>
        <v>137.42499999999998</v>
      </c>
      <c r="N978" t="str">
        <f t="shared" si="46"/>
        <v>Robusta</v>
      </c>
      <c r="O978" t="str">
        <f t="shared" si="47"/>
        <v>Light</v>
      </c>
      <c r="P978" t="str">
        <f>_xlfn.XLOOKUP(Table1[[#This Row],[Customer ID]],customers!$A$1:$A$1001,customers!$I$1:$I$1001,,0)</f>
        <v>Yes</v>
      </c>
    </row>
    <row r="979" spans="1:16" x14ac:dyDescent="0.25">
      <c r="A979" s="2" t="s">
        <v>6013</v>
      </c>
      <c r="B979" s="8">
        <v>44026</v>
      </c>
      <c r="C979" s="2" t="s">
        <v>6014</v>
      </c>
      <c r="D979" t="s">
        <v>6179</v>
      </c>
      <c r="E979" s="2">
        <v>5</v>
      </c>
      <c r="F979" s="2" t="str">
        <f>_xlfn.XLOOKUP(orders!C979,customers!$A$1:$A$1001,customers!$B$1:$B$1001,,0)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9">
        <f>INDEX(products!$A$1:$G$49,MATCH(orders!$D979,products!$A$1:$A$49,0),MATCH(orders!K$1,products!$A$1:$G$1,0))</f>
        <v>1</v>
      </c>
      <c r="L979" s="10">
        <f>INDEX(products!$A$1:$G$49,MATCH(orders!$D979,products!$A$1:$A$49,0),MATCH(orders!L$1,products!$A$1:$G$1,0))</f>
        <v>11.95</v>
      </c>
      <c r="M979" s="10">
        <f t="shared" si="45"/>
        <v>59.75</v>
      </c>
      <c r="N979" t="str">
        <f t="shared" si="46"/>
        <v>Robusta</v>
      </c>
      <c r="O979" t="str">
        <f t="shared" si="47"/>
        <v>Light</v>
      </c>
      <c r="P979" t="str">
        <f>_xlfn.XLOOKUP(Table1[[#This Row],[Customer ID]],customers!$A$1:$A$1001,customers!$I$1:$I$1001,,0)</f>
        <v>No</v>
      </c>
    </row>
    <row r="980" spans="1:16" x14ac:dyDescent="0.25">
      <c r="A980" s="2" t="s">
        <v>6019</v>
      </c>
      <c r="B980" s="8">
        <v>43913</v>
      </c>
      <c r="C980" s="2" t="s">
        <v>5990</v>
      </c>
      <c r="D980" t="s">
        <v>6180</v>
      </c>
      <c r="E980" s="2">
        <v>3</v>
      </c>
      <c r="F980" s="2" t="str">
        <f>_xlfn.XLOOKUP(orders!C980,customers!$A$1:$A$1001,customers!$B$1:$B$1001,,0)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9">
        <f>INDEX(products!$A$1:$G$49,MATCH(orders!$D980,products!$A$1:$A$49,0),MATCH(orders!K$1,products!$A$1:$G$1,0))</f>
        <v>0.5</v>
      </c>
      <c r="L980" s="10">
        <f>INDEX(products!$A$1:$G$49,MATCH(orders!$D980,products!$A$1:$A$49,0),MATCH(orders!L$1,products!$A$1:$G$1,0))</f>
        <v>7.77</v>
      </c>
      <c r="M980" s="10">
        <f t="shared" si="45"/>
        <v>23.31</v>
      </c>
      <c r="N980" t="str">
        <f t="shared" si="46"/>
        <v>Arabica</v>
      </c>
      <c r="O980" t="str">
        <f t="shared" si="47"/>
        <v>Light</v>
      </c>
      <c r="P980" t="str">
        <f>_xlfn.XLOOKUP(Table1[[#This Row],[Customer ID]],customers!$A$1:$A$1001,customers!$I$1:$I$1001,,0)</f>
        <v>No</v>
      </c>
    </row>
    <row r="981" spans="1:16" x14ac:dyDescent="0.25">
      <c r="A981" s="2" t="s">
        <v>6025</v>
      </c>
      <c r="B981" s="8">
        <v>43856</v>
      </c>
      <c r="C981" s="2" t="s">
        <v>6026</v>
      </c>
      <c r="D981" t="s">
        <v>6172</v>
      </c>
      <c r="E981" s="2">
        <v>2</v>
      </c>
      <c r="F981" s="2" t="str">
        <f>_xlfn.XLOOKUP(orders!C981,customers!$A$1:$A$1001,customers!$B$1:$B$1001,,0)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9">
        <f>INDEX(products!$A$1:$G$49,MATCH(orders!$D981,products!$A$1:$A$49,0),MATCH(orders!K$1,products!$A$1:$G$1,0))</f>
        <v>0.5</v>
      </c>
      <c r="L981" s="10">
        <f>INDEX(products!$A$1:$G$49,MATCH(orders!$D981,products!$A$1:$A$49,0),MATCH(orders!L$1,products!$A$1:$G$1,0))</f>
        <v>5.3699999999999992</v>
      </c>
      <c r="M981" s="10">
        <f t="shared" si="45"/>
        <v>10.739999999999998</v>
      </c>
      <c r="N981" t="str">
        <f t="shared" si="46"/>
        <v>Robusta</v>
      </c>
      <c r="O981" t="str">
        <f t="shared" si="47"/>
        <v>Dark</v>
      </c>
      <c r="P981" t="str">
        <f>_xlfn.XLOOKUP(Table1[[#This Row],[Customer ID]],customers!$A$1:$A$1001,customers!$I$1:$I$1001,,0)</f>
        <v>No</v>
      </c>
    </row>
    <row r="982" spans="1:16" x14ac:dyDescent="0.25">
      <c r="A982" s="2" t="s">
        <v>6030</v>
      </c>
      <c r="B982" s="8">
        <v>43982</v>
      </c>
      <c r="C982" s="2" t="s">
        <v>6031</v>
      </c>
      <c r="D982" t="s">
        <v>6185</v>
      </c>
      <c r="E982" s="2">
        <v>6</v>
      </c>
      <c r="F982" s="2" t="str">
        <f>_xlfn.XLOOKUP(orders!C982,customers!$A$1:$A$1001,customers!$B$1:$B$1001,,0)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9">
        <f>INDEX(products!$A$1:$G$49,MATCH(orders!$D982,products!$A$1:$A$49,0),MATCH(orders!K$1,products!$A$1:$G$1,0))</f>
        <v>2.5</v>
      </c>
      <c r="L982" s="10">
        <f>INDEX(products!$A$1:$G$49,MATCH(orders!$D982,products!$A$1:$A$49,0),MATCH(orders!L$1,products!$A$1:$G$1,0))</f>
        <v>27.945</v>
      </c>
      <c r="M982" s="10">
        <f t="shared" si="45"/>
        <v>167.67000000000002</v>
      </c>
      <c r="N982" t="str">
        <f t="shared" si="46"/>
        <v>Excelsa</v>
      </c>
      <c r="O982" t="str">
        <f t="shared" si="47"/>
        <v>Dark</v>
      </c>
      <c r="P982" t="str">
        <f>_xlfn.XLOOKUP(Table1[[#This Row],[Customer ID]],customers!$A$1:$A$1001,customers!$I$1:$I$1001,,0)</f>
        <v>Yes</v>
      </c>
    </row>
    <row r="983" spans="1:16" x14ac:dyDescent="0.25">
      <c r="A983" s="2" t="s">
        <v>6035</v>
      </c>
      <c r="B983" s="8">
        <v>44397</v>
      </c>
      <c r="C983" s="2" t="s">
        <v>6036</v>
      </c>
      <c r="D983" t="s">
        <v>6153</v>
      </c>
      <c r="E983" s="2">
        <v>6</v>
      </c>
      <c r="F983" s="2" t="str">
        <f>_xlfn.XLOOKUP(orders!C983,customers!$A$1:$A$1001,customers!$B$1:$B$1001,,0)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9">
        <f>INDEX(products!$A$1:$G$49,MATCH(orders!$D983,products!$A$1:$A$49,0),MATCH(orders!K$1,products!$A$1:$G$1,0))</f>
        <v>0.2</v>
      </c>
      <c r="L983" s="10">
        <f>INDEX(products!$A$1:$G$49,MATCH(orders!$D983,products!$A$1:$A$49,0),MATCH(orders!L$1,products!$A$1:$G$1,0))</f>
        <v>3.645</v>
      </c>
      <c r="M983" s="10">
        <f t="shared" si="45"/>
        <v>21.87</v>
      </c>
      <c r="N983" t="str">
        <f t="shared" si="46"/>
        <v>Excelsa</v>
      </c>
      <c r="O983" t="str">
        <f t="shared" si="47"/>
        <v>Dark</v>
      </c>
      <c r="P983" t="str">
        <f>_xlfn.XLOOKUP(Table1[[#This Row],[Customer ID]],customers!$A$1:$A$1001,customers!$I$1:$I$1001,,0)</f>
        <v>Yes</v>
      </c>
    </row>
    <row r="984" spans="1:16" x14ac:dyDescent="0.25">
      <c r="A984" s="2" t="s">
        <v>6041</v>
      </c>
      <c r="B984" s="8">
        <v>44785</v>
      </c>
      <c r="C984" s="2" t="s">
        <v>6042</v>
      </c>
      <c r="D984" t="s">
        <v>6179</v>
      </c>
      <c r="E984" s="2">
        <v>2</v>
      </c>
      <c r="F984" s="2" t="str">
        <f>_xlfn.XLOOKUP(orders!C984,customers!$A$1:$A$1001,customers!$B$1:$B$1001,,0)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9">
        <f>INDEX(products!$A$1:$G$49,MATCH(orders!$D984,products!$A$1:$A$49,0),MATCH(orders!K$1,products!$A$1:$G$1,0))</f>
        <v>1</v>
      </c>
      <c r="L984" s="10">
        <f>INDEX(products!$A$1:$G$49,MATCH(orders!$D984,products!$A$1:$A$49,0),MATCH(orders!L$1,products!$A$1:$G$1,0))</f>
        <v>11.95</v>
      </c>
      <c r="M984" s="10">
        <f t="shared" si="45"/>
        <v>23.9</v>
      </c>
      <c r="N984" t="str">
        <f t="shared" si="46"/>
        <v>Robusta</v>
      </c>
      <c r="O984" t="str">
        <f t="shared" si="47"/>
        <v>Light</v>
      </c>
      <c r="P984" t="str">
        <f>_xlfn.XLOOKUP(Table1[[#This Row],[Customer ID]],customers!$A$1:$A$1001,customers!$I$1:$I$1001,,0)</f>
        <v>Yes</v>
      </c>
    </row>
    <row r="985" spans="1:16" x14ac:dyDescent="0.25">
      <c r="A985" s="2" t="s">
        <v>6047</v>
      </c>
      <c r="B985" s="8">
        <v>43831</v>
      </c>
      <c r="C985" s="2" t="s">
        <v>6048</v>
      </c>
      <c r="D985" t="s">
        <v>6152</v>
      </c>
      <c r="E985" s="2">
        <v>2</v>
      </c>
      <c r="F985" s="2" t="str">
        <f>_xlfn.XLOOKUP(orders!C985,customers!$A$1:$A$1001,customers!$B$1:$B$1001,,0)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9">
        <f>INDEX(products!$A$1:$G$49,MATCH(orders!$D985,products!$A$1:$A$49,0),MATCH(orders!K$1,products!$A$1:$G$1,0))</f>
        <v>0.2</v>
      </c>
      <c r="L985" s="10">
        <f>INDEX(products!$A$1:$G$49,MATCH(orders!$D985,products!$A$1:$A$49,0),MATCH(orders!L$1,products!$A$1:$G$1,0))</f>
        <v>3.375</v>
      </c>
      <c r="M985" s="10">
        <f t="shared" si="45"/>
        <v>6.75</v>
      </c>
      <c r="N985" t="str">
        <f t="shared" si="46"/>
        <v>Arabica</v>
      </c>
      <c r="O985" t="str">
        <f t="shared" si="47"/>
        <v>Medium</v>
      </c>
      <c r="P985" t="str">
        <f>_xlfn.XLOOKUP(Table1[[#This Row],[Customer ID]],customers!$A$1:$A$1001,customers!$I$1:$I$1001,,0)</f>
        <v>Yes</v>
      </c>
    </row>
    <row r="986" spans="1:16" x14ac:dyDescent="0.25">
      <c r="A986" s="2" t="s">
        <v>6053</v>
      </c>
      <c r="B986" s="8">
        <v>44214</v>
      </c>
      <c r="C986" s="2" t="s">
        <v>6054</v>
      </c>
      <c r="D986" t="s">
        <v>6166</v>
      </c>
      <c r="E986" s="2">
        <v>1</v>
      </c>
      <c r="F986" s="2" t="str">
        <f>_xlfn.XLOOKUP(orders!C986,customers!$A$1:$A$1001,customers!$B$1:$B$1001,,0)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9">
        <f>INDEX(products!$A$1:$G$49,MATCH(orders!$D986,products!$A$1:$A$49,0),MATCH(orders!K$1,products!$A$1:$G$1,0))</f>
        <v>2.5</v>
      </c>
      <c r="L986" s="10">
        <f>INDEX(products!$A$1:$G$49,MATCH(orders!$D986,products!$A$1:$A$49,0),MATCH(orders!L$1,products!$A$1:$G$1,0))</f>
        <v>31.624999999999996</v>
      </c>
      <c r="M986" s="10">
        <f t="shared" si="45"/>
        <v>31.624999999999996</v>
      </c>
      <c r="N986" t="str">
        <f t="shared" si="46"/>
        <v>Excelsa</v>
      </c>
      <c r="O986" t="str">
        <f t="shared" si="47"/>
        <v>Medium</v>
      </c>
      <c r="P986" t="str">
        <f>_xlfn.XLOOKUP(Table1[[#This Row],[Customer ID]],customers!$A$1:$A$1001,customers!$I$1:$I$1001,,0)</f>
        <v>Yes</v>
      </c>
    </row>
    <row r="987" spans="1:16" x14ac:dyDescent="0.25">
      <c r="A987" s="2" t="s">
        <v>6058</v>
      </c>
      <c r="B987" s="8">
        <v>44561</v>
      </c>
      <c r="C987" s="2" t="s">
        <v>6059</v>
      </c>
      <c r="D987" t="s">
        <v>6179</v>
      </c>
      <c r="E987" s="2">
        <v>4</v>
      </c>
      <c r="F987" s="2" t="str">
        <f>_xlfn.XLOOKUP(orders!C987,customers!$A$1:$A$1001,customers!$B$1:$B$1001,,0)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9">
        <f>INDEX(products!$A$1:$G$49,MATCH(orders!$D987,products!$A$1:$A$49,0),MATCH(orders!K$1,products!$A$1:$G$1,0))</f>
        <v>1</v>
      </c>
      <c r="L987" s="10">
        <f>INDEX(products!$A$1:$G$49,MATCH(orders!$D987,products!$A$1:$A$49,0),MATCH(orders!L$1,products!$A$1:$G$1,0))</f>
        <v>11.95</v>
      </c>
      <c r="M987" s="10">
        <f t="shared" si="45"/>
        <v>47.8</v>
      </c>
      <c r="N987" t="str">
        <f t="shared" si="46"/>
        <v>Robusta</v>
      </c>
      <c r="O987" t="str">
        <f t="shared" si="47"/>
        <v>Light</v>
      </c>
      <c r="P987" t="str">
        <f>_xlfn.XLOOKUP(Table1[[#This Row],[Customer ID]],customers!$A$1:$A$1001,customers!$I$1:$I$1001,,0)</f>
        <v>No</v>
      </c>
    </row>
    <row r="988" spans="1:16" x14ac:dyDescent="0.25">
      <c r="A988" s="2" t="s">
        <v>6064</v>
      </c>
      <c r="B988" s="8">
        <v>43955</v>
      </c>
      <c r="C988" s="2" t="s">
        <v>6065</v>
      </c>
      <c r="D988" t="s">
        <v>6181</v>
      </c>
      <c r="E988" s="2">
        <v>1</v>
      </c>
      <c r="F988" s="2" t="str">
        <f>_xlfn.XLOOKUP(orders!C988,customers!$A$1:$A$1001,customers!$B$1:$B$1001,,0)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9">
        <f>INDEX(products!$A$1:$G$49,MATCH(orders!$D988,products!$A$1:$A$49,0),MATCH(orders!K$1,products!$A$1:$G$1,0))</f>
        <v>2.5</v>
      </c>
      <c r="L988" s="10">
        <f>INDEX(products!$A$1:$G$49,MATCH(orders!$D988,products!$A$1:$A$49,0),MATCH(orders!L$1,products!$A$1:$G$1,0))</f>
        <v>33.464999999999996</v>
      </c>
      <c r="M988" s="10">
        <f t="shared" si="45"/>
        <v>33.464999999999996</v>
      </c>
      <c r="N988" t="str">
        <f t="shared" si="46"/>
        <v>Liberica</v>
      </c>
      <c r="O988" t="str">
        <f t="shared" si="47"/>
        <v>Medium</v>
      </c>
      <c r="P988" t="str">
        <f>_xlfn.XLOOKUP(Table1[[#This Row],[Customer ID]],customers!$A$1:$A$1001,customers!$I$1:$I$1001,,0)</f>
        <v>No</v>
      </c>
    </row>
    <row r="989" spans="1:16" x14ac:dyDescent="0.25">
      <c r="A989" s="2" t="s">
        <v>6070</v>
      </c>
      <c r="B989" s="8">
        <v>44247</v>
      </c>
      <c r="C989" s="2" t="s">
        <v>6071</v>
      </c>
      <c r="D989" t="s">
        <v>6158</v>
      </c>
      <c r="E989" s="2">
        <v>5</v>
      </c>
      <c r="F989" s="2" t="str">
        <f>_xlfn.XLOOKUP(orders!C989,customers!$A$1:$A$1001,customers!$B$1:$B$1001,,0)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9">
        <f>INDEX(products!$A$1:$G$49,MATCH(orders!$D989,products!$A$1:$A$49,0),MATCH(orders!K$1,products!$A$1:$G$1,0))</f>
        <v>0.5</v>
      </c>
      <c r="L989" s="10">
        <f>INDEX(products!$A$1:$G$49,MATCH(orders!$D989,products!$A$1:$A$49,0),MATCH(orders!L$1,products!$A$1:$G$1,0))</f>
        <v>5.97</v>
      </c>
      <c r="M989" s="10">
        <f t="shared" si="45"/>
        <v>29.849999999999998</v>
      </c>
      <c r="N989" t="str">
        <f t="shared" si="46"/>
        <v>Arabica</v>
      </c>
      <c r="O989" t="str">
        <f t="shared" si="47"/>
        <v>Dark</v>
      </c>
      <c r="P989" t="str">
        <f>_xlfn.XLOOKUP(Table1[[#This Row],[Customer ID]],customers!$A$1:$A$1001,customers!$I$1:$I$1001,,0)</f>
        <v>Yes</v>
      </c>
    </row>
    <row r="990" spans="1:16" x14ac:dyDescent="0.25">
      <c r="A990" s="2" t="s">
        <v>6076</v>
      </c>
      <c r="B990" s="8">
        <v>43897</v>
      </c>
      <c r="C990" s="2" t="s">
        <v>6077</v>
      </c>
      <c r="D990" t="s">
        <v>6138</v>
      </c>
      <c r="E990" s="2">
        <v>3</v>
      </c>
      <c r="F990" s="2" t="str">
        <f>_xlfn.XLOOKUP(orders!C990,customers!$A$1:$A$1001,customers!$B$1:$B$1001,,0)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9">
        <f>INDEX(products!$A$1:$G$49,MATCH(orders!$D990,products!$A$1:$A$49,0),MATCH(orders!K$1,products!$A$1:$G$1,0))</f>
        <v>1</v>
      </c>
      <c r="L990" s="10">
        <f>INDEX(products!$A$1:$G$49,MATCH(orders!$D990,products!$A$1:$A$49,0),MATCH(orders!L$1,products!$A$1:$G$1,0))</f>
        <v>9.9499999999999993</v>
      </c>
      <c r="M990" s="10">
        <f t="shared" si="45"/>
        <v>29.849999999999998</v>
      </c>
      <c r="N990" t="str">
        <f t="shared" si="46"/>
        <v>Robusta</v>
      </c>
      <c r="O990" t="str">
        <f t="shared" si="47"/>
        <v>Medium</v>
      </c>
      <c r="P990" t="str">
        <f>_xlfn.XLOOKUP(Table1[[#This Row],[Customer ID]],customers!$A$1:$A$1001,customers!$I$1:$I$1001,,0)</f>
        <v>Yes</v>
      </c>
    </row>
    <row r="991" spans="1:16" x14ac:dyDescent="0.25">
      <c r="A991" s="2" t="s">
        <v>6081</v>
      </c>
      <c r="B991" s="8">
        <v>43560</v>
      </c>
      <c r="C991" s="2" t="s">
        <v>6082</v>
      </c>
      <c r="D991" t="s">
        <v>6175</v>
      </c>
      <c r="E991" s="2">
        <v>6</v>
      </c>
      <c r="F991" s="2" t="str">
        <f>_xlfn.XLOOKUP(orders!C991,customers!$A$1:$A$1001,customers!$B$1:$B$1001,,0)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9">
        <f>INDEX(products!$A$1:$G$49,MATCH(orders!$D991,products!$A$1:$A$49,0),MATCH(orders!K$1,products!$A$1:$G$1,0))</f>
        <v>2.5</v>
      </c>
      <c r="L991" s="10">
        <f>INDEX(products!$A$1:$G$49,MATCH(orders!$D991,products!$A$1:$A$49,0),MATCH(orders!L$1,products!$A$1:$G$1,0))</f>
        <v>25.874999999999996</v>
      </c>
      <c r="M991" s="10">
        <f t="shared" si="45"/>
        <v>155.24999999999997</v>
      </c>
      <c r="N991" t="str">
        <f t="shared" si="46"/>
        <v>Arabica</v>
      </c>
      <c r="O991" t="str">
        <f t="shared" si="47"/>
        <v>Medium</v>
      </c>
      <c r="P991" t="str">
        <f>_xlfn.XLOOKUP(Table1[[#This Row],[Customer ID]],customers!$A$1:$A$1001,customers!$I$1:$I$1001,,0)</f>
        <v>Yes</v>
      </c>
    </row>
    <row r="992" spans="1:16" x14ac:dyDescent="0.25">
      <c r="A992" s="2" t="s">
        <v>6086</v>
      </c>
      <c r="B992" s="8">
        <v>44718</v>
      </c>
      <c r="C992" s="2" t="s">
        <v>6118</v>
      </c>
      <c r="D992" t="s">
        <v>6153</v>
      </c>
      <c r="E992" s="2">
        <v>5</v>
      </c>
      <c r="F992" s="2" t="str">
        <f>_xlfn.XLOOKUP(orders!C992,customers!$A$1:$A$1001,customers!$B$1:$B$1001,,0)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9">
        <f>INDEX(products!$A$1:$G$49,MATCH(orders!$D992,products!$A$1:$A$49,0),MATCH(orders!K$1,products!$A$1:$G$1,0))</f>
        <v>0.2</v>
      </c>
      <c r="L992" s="10">
        <f>INDEX(products!$A$1:$G$49,MATCH(orders!$D992,products!$A$1:$A$49,0),MATCH(orders!L$1,products!$A$1:$G$1,0))</f>
        <v>3.645</v>
      </c>
      <c r="M992" s="10">
        <f t="shared" si="45"/>
        <v>18.225000000000001</v>
      </c>
      <c r="N992" t="str">
        <f t="shared" si="46"/>
        <v>Excelsa</v>
      </c>
      <c r="O992" t="str">
        <f t="shared" si="47"/>
        <v>Dark</v>
      </c>
      <c r="P992" t="str">
        <f>_xlfn.XLOOKUP(Table1[[#This Row],[Customer ID]],customers!$A$1:$A$1001,customers!$I$1:$I$1001,,0)</f>
        <v>No</v>
      </c>
    </row>
    <row r="993" spans="1:16" x14ac:dyDescent="0.25">
      <c r="A993" s="2" t="s">
        <v>6086</v>
      </c>
      <c r="B993" s="8">
        <v>44718</v>
      </c>
      <c r="C993" s="2" t="s">
        <v>6118</v>
      </c>
      <c r="D993" t="s">
        <v>6169</v>
      </c>
      <c r="E993" s="2">
        <v>2</v>
      </c>
      <c r="F993" s="2" t="str">
        <f>_xlfn.XLOOKUP(orders!C993,customers!$A$1:$A$1001,customers!$B$1:$B$1001,,0)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9">
        <f>INDEX(products!$A$1:$G$49,MATCH(orders!$D993,products!$A$1:$A$49,0),MATCH(orders!K$1,products!$A$1:$G$1,0))</f>
        <v>0.5</v>
      </c>
      <c r="L993" s="10">
        <f>INDEX(products!$A$1:$G$49,MATCH(orders!$D993,products!$A$1:$A$49,0),MATCH(orders!L$1,products!$A$1:$G$1,0))</f>
        <v>7.77</v>
      </c>
      <c r="M993" s="10">
        <f t="shared" si="45"/>
        <v>15.54</v>
      </c>
      <c r="N993" t="str">
        <f t="shared" si="46"/>
        <v>Liberica</v>
      </c>
      <c r="O993" t="str">
        <f t="shared" si="47"/>
        <v>Dark</v>
      </c>
      <c r="P993" t="str">
        <f>_xlfn.XLOOKUP(Table1[[#This Row],[Customer ID]],customers!$A$1:$A$1001,customers!$I$1:$I$1001,,0)</f>
        <v>No</v>
      </c>
    </row>
    <row r="994" spans="1:16" x14ac:dyDescent="0.25">
      <c r="A994" s="2" t="s">
        <v>6096</v>
      </c>
      <c r="B994" s="8">
        <v>44276</v>
      </c>
      <c r="C994" s="2" t="s">
        <v>6097</v>
      </c>
      <c r="D994" t="s">
        <v>6164</v>
      </c>
      <c r="E994" s="2">
        <v>3</v>
      </c>
      <c r="F994" s="2" t="str">
        <f>_xlfn.XLOOKUP(orders!C994,customers!$A$1:$A$1001,customers!$B$1:$B$1001,,0)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9">
        <f>INDEX(products!$A$1:$G$49,MATCH(orders!$D994,products!$A$1:$A$49,0),MATCH(orders!K$1,products!$A$1:$G$1,0))</f>
        <v>2.5</v>
      </c>
      <c r="L994" s="10">
        <f>INDEX(products!$A$1:$G$49,MATCH(orders!$D994,products!$A$1:$A$49,0),MATCH(orders!L$1,products!$A$1:$G$1,0))</f>
        <v>36.454999999999998</v>
      </c>
      <c r="M994" s="10">
        <f t="shared" si="45"/>
        <v>109.36499999999999</v>
      </c>
      <c r="N994" t="str">
        <f t="shared" si="46"/>
        <v>Liberica</v>
      </c>
      <c r="O994" t="str">
        <f t="shared" si="47"/>
        <v>Light</v>
      </c>
      <c r="P994" t="str">
        <f>_xlfn.XLOOKUP(Table1[[#This Row],[Customer ID]],customers!$A$1:$A$1001,customers!$I$1:$I$1001,,0)</f>
        <v>No</v>
      </c>
    </row>
    <row r="995" spans="1:16" x14ac:dyDescent="0.25">
      <c r="A995" s="2" t="s">
        <v>6101</v>
      </c>
      <c r="B995" s="8">
        <v>44549</v>
      </c>
      <c r="C995" s="2" t="s">
        <v>6102</v>
      </c>
      <c r="D995" t="s">
        <v>6140</v>
      </c>
      <c r="E995" s="2">
        <v>6</v>
      </c>
      <c r="F995" s="2" t="str">
        <f>_xlfn.XLOOKUP(orders!C995,customers!$A$1:$A$1001,customers!$B$1:$B$1001,,0)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9">
        <f>INDEX(products!$A$1:$G$49,MATCH(orders!$D995,products!$A$1:$A$49,0),MATCH(orders!K$1,products!$A$1:$G$1,0))</f>
        <v>1</v>
      </c>
      <c r="L995" s="10">
        <f>INDEX(products!$A$1:$G$49,MATCH(orders!$D995,products!$A$1:$A$49,0),MATCH(orders!L$1,products!$A$1:$G$1,0))</f>
        <v>12.95</v>
      </c>
      <c r="M995" s="10">
        <f t="shared" si="45"/>
        <v>77.699999999999989</v>
      </c>
      <c r="N995" t="str">
        <f t="shared" si="46"/>
        <v>Arabica</v>
      </c>
      <c r="O995" t="str">
        <f t="shared" si="47"/>
        <v>Light</v>
      </c>
      <c r="P995" t="str">
        <f>_xlfn.XLOOKUP(Table1[[#This Row],[Customer ID]],customers!$A$1:$A$1001,customers!$I$1:$I$1001,,0)</f>
        <v>No</v>
      </c>
    </row>
    <row r="996" spans="1:16" x14ac:dyDescent="0.25">
      <c r="A996" s="2" t="s">
        <v>6106</v>
      </c>
      <c r="B996" s="8">
        <v>44244</v>
      </c>
      <c r="C996" s="2" t="s">
        <v>6107</v>
      </c>
      <c r="D996" t="s">
        <v>6154</v>
      </c>
      <c r="E996" s="2">
        <v>3</v>
      </c>
      <c r="F996" s="2" t="str">
        <f>_xlfn.XLOOKUP(orders!C996,customers!$A$1:$A$1001,customers!$B$1:$B$1001,,0)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9">
        <f>INDEX(products!$A$1:$G$49,MATCH(orders!$D996,products!$A$1:$A$49,0),MATCH(orders!K$1,products!$A$1:$G$1,0))</f>
        <v>0.2</v>
      </c>
      <c r="L996" s="10">
        <f>INDEX(products!$A$1:$G$49,MATCH(orders!$D996,products!$A$1:$A$49,0),MATCH(orders!L$1,products!$A$1:$G$1,0))</f>
        <v>2.9849999999999999</v>
      </c>
      <c r="M996" s="10">
        <f t="shared" si="45"/>
        <v>8.9550000000000001</v>
      </c>
      <c r="N996" t="str">
        <f t="shared" si="46"/>
        <v>Arabica</v>
      </c>
      <c r="O996" t="str">
        <f t="shared" si="47"/>
        <v>Dark</v>
      </c>
      <c r="P996" t="str">
        <f>_xlfn.XLOOKUP(Table1[[#This Row],[Customer ID]],customers!$A$1:$A$1001,customers!$I$1:$I$1001,,0)</f>
        <v>No</v>
      </c>
    </row>
    <row r="997" spans="1:16" x14ac:dyDescent="0.25">
      <c r="A997" s="2" t="s">
        <v>6111</v>
      </c>
      <c r="B997" s="8">
        <v>43836</v>
      </c>
      <c r="C997" s="2" t="s">
        <v>6112</v>
      </c>
      <c r="D997" t="s">
        <v>6142</v>
      </c>
      <c r="E997" s="2">
        <v>1</v>
      </c>
      <c r="F997" s="2" t="str">
        <f>_xlfn.XLOOKUP(orders!C997,customers!$A$1:$A$1001,customers!$B$1:$B$1001,,0)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9">
        <f>INDEX(products!$A$1:$G$49,MATCH(orders!$D997,products!$A$1:$A$49,0),MATCH(orders!K$1,products!$A$1:$G$1,0))</f>
        <v>2.5</v>
      </c>
      <c r="L997" s="10">
        <f>INDEX(products!$A$1:$G$49,MATCH(orders!$D997,products!$A$1:$A$49,0),MATCH(orders!L$1,products!$A$1:$G$1,0))</f>
        <v>27.484999999999996</v>
      </c>
      <c r="M997" s="10">
        <f t="shared" si="45"/>
        <v>27.484999999999996</v>
      </c>
      <c r="N997" t="str">
        <f t="shared" si="46"/>
        <v>Robusta</v>
      </c>
      <c r="O997" t="str">
        <f t="shared" si="47"/>
        <v>Light</v>
      </c>
      <c r="P997" t="str">
        <f>_xlfn.XLOOKUP(Table1[[#This Row],[Customer ID]],customers!$A$1:$A$1001,customers!$I$1:$I$1001,,0)</f>
        <v>No</v>
      </c>
    </row>
    <row r="998" spans="1:16" x14ac:dyDescent="0.25">
      <c r="A998" s="2" t="s">
        <v>6117</v>
      </c>
      <c r="B998" s="8">
        <v>44685</v>
      </c>
      <c r="C998" s="2" t="s">
        <v>6118</v>
      </c>
      <c r="D998" t="s">
        <v>6146</v>
      </c>
      <c r="E998" s="2">
        <v>5</v>
      </c>
      <c r="F998" s="2" t="str">
        <f>_xlfn.XLOOKUP(orders!C998,customers!$A$1:$A$1001,customers!$B$1:$B$1001,,0)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9">
        <f>INDEX(products!$A$1:$G$49,MATCH(orders!$D998,products!$A$1:$A$49,0),MATCH(orders!K$1,products!$A$1:$G$1,0))</f>
        <v>0.5</v>
      </c>
      <c r="L998" s="10">
        <f>INDEX(products!$A$1:$G$49,MATCH(orders!$D998,products!$A$1:$A$49,0),MATCH(orders!L$1,products!$A$1:$G$1,0))</f>
        <v>5.97</v>
      </c>
      <c r="M998" s="10">
        <f t="shared" si="45"/>
        <v>29.849999999999998</v>
      </c>
      <c r="N998" t="str">
        <f t="shared" si="46"/>
        <v>Robusta</v>
      </c>
      <c r="O998" t="str">
        <f t="shared" si="47"/>
        <v>Medium</v>
      </c>
      <c r="P998" t="str">
        <f>_xlfn.XLOOKUP(Table1[[#This Row],[Customer ID]],customers!$A$1:$A$1001,customers!$I$1:$I$1001,,0)</f>
        <v>No</v>
      </c>
    </row>
    <row r="999" spans="1:16" x14ac:dyDescent="0.25">
      <c r="A999" s="2" t="s">
        <v>6122</v>
      </c>
      <c r="B999" s="8">
        <v>43749</v>
      </c>
      <c r="C999" s="2" t="s">
        <v>6118</v>
      </c>
      <c r="D999" t="s">
        <v>6157</v>
      </c>
      <c r="E999" s="2">
        <v>4</v>
      </c>
      <c r="F999" s="2" t="str">
        <f>_xlfn.XLOOKUP(orders!C999,customers!$A$1:$A$1001,customers!$B$1:$B$1001,,0)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9">
        <f>INDEX(products!$A$1:$G$49,MATCH(orders!$D999,products!$A$1:$A$49,0),MATCH(orders!K$1,products!$A$1:$G$1,0))</f>
        <v>0.5</v>
      </c>
      <c r="L999" s="10">
        <f>INDEX(products!$A$1:$G$49,MATCH(orders!$D999,products!$A$1:$A$49,0),MATCH(orders!L$1,products!$A$1:$G$1,0))</f>
        <v>6.75</v>
      </c>
      <c r="M999" s="10">
        <f t="shared" si="45"/>
        <v>27</v>
      </c>
      <c r="N999" t="str">
        <f t="shared" si="46"/>
        <v>Arabica</v>
      </c>
      <c r="O999" t="str">
        <f t="shared" si="47"/>
        <v>Medium</v>
      </c>
      <c r="P999" t="str">
        <f>_xlfn.XLOOKUP(Table1[[#This Row],[Customer ID]],customers!$A$1:$A$1001,customers!$I$1:$I$1001,,0)</f>
        <v>No</v>
      </c>
    </row>
    <row r="1000" spans="1:16" x14ac:dyDescent="0.25">
      <c r="A1000" s="2" t="s">
        <v>6127</v>
      </c>
      <c r="B1000" s="8">
        <v>44411</v>
      </c>
      <c r="C1000" s="2" t="s">
        <v>6128</v>
      </c>
      <c r="D1000" t="s">
        <v>6147</v>
      </c>
      <c r="E1000" s="2">
        <v>1</v>
      </c>
      <c r="F1000" s="2" t="str">
        <f>_xlfn.XLOOKUP(orders!C1000,customers!$A$1:$A$1001,customers!$B$1:$B$1001,,0)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9">
        <f>INDEX(products!$A$1:$G$49,MATCH(orders!$D1000,products!$A$1:$A$49,0),MATCH(orders!K$1,products!$A$1:$G$1,0))</f>
        <v>1</v>
      </c>
      <c r="L1000" s="10">
        <f>INDEX(products!$A$1:$G$49,MATCH(orders!$D1000,products!$A$1:$A$49,0),MATCH(orders!L$1,products!$A$1:$G$1,0))</f>
        <v>9.9499999999999993</v>
      </c>
      <c r="M1000" s="10">
        <f t="shared" si="45"/>
        <v>9.9499999999999993</v>
      </c>
      <c r="N1000" t="str">
        <f t="shared" si="46"/>
        <v>Arabica</v>
      </c>
      <c r="O1000" t="str">
        <f t="shared" si="47"/>
        <v>Dark</v>
      </c>
      <c r="P1000" t="str">
        <f>_xlfn.XLOOKUP(Table1[[#This Row],[Customer ID]],customers!$A$1:$A$1001,customers!$I$1:$I$1001,,0)</f>
        <v>No</v>
      </c>
    </row>
    <row r="1001" spans="1:16" x14ac:dyDescent="0.25">
      <c r="A1001" s="2" t="s">
        <v>6133</v>
      </c>
      <c r="B1001" s="8">
        <v>44119</v>
      </c>
      <c r="C1001" s="2" t="s">
        <v>6134</v>
      </c>
      <c r="D1001" t="s">
        <v>6156</v>
      </c>
      <c r="E1001" s="2">
        <v>3</v>
      </c>
      <c r="F1001" s="2" t="str">
        <f>_xlfn.XLOOKUP(orders!C1001,customers!$A$1:$A$1001,customers!$B$1:$B$1001,,0)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9">
        <f>INDEX(products!$A$1:$G$49,MATCH(orders!$D1001,products!$A$1:$A$49,0),MATCH(orders!K$1,products!$A$1:$G$1,0))</f>
        <v>0.2</v>
      </c>
      <c r="L1001" s="10">
        <f>INDEX(products!$A$1:$G$49,MATCH(orders!$D1001,products!$A$1:$A$49,0),MATCH(orders!L$1,products!$A$1:$G$1,0))</f>
        <v>4.125</v>
      </c>
      <c r="M1001" s="10">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2" workbookViewId="0">
      <selection activeCell="N992" sqref="N99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2" sqref="G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s="3" t="s">
        <v>11</v>
      </c>
      <c r="B1" s="3" t="s">
        <v>9</v>
      </c>
      <c r="C1" s="3" t="s">
        <v>10</v>
      </c>
      <c r="D1" s="3" t="s">
        <v>12</v>
      </c>
      <c r="E1" s="3" t="s">
        <v>13</v>
      </c>
      <c r="F1" s="3" t="s">
        <v>17</v>
      </c>
      <c r="G1" s="3"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F40B3-A950-4386-B946-A9890ECFB18B}">
  <dimension ref="A1:B3"/>
  <sheetViews>
    <sheetView workbookViewId="0">
      <selection activeCell="D2" sqref="D2"/>
    </sheetView>
  </sheetViews>
  <sheetFormatPr defaultRowHeight="15" x14ac:dyDescent="0.25"/>
  <cols>
    <col min="1" max="1" width="17.7109375" style="7" customWidth="1"/>
    <col min="2" max="2" width="28" style="5" customWidth="1"/>
    <col min="3" max="16384" width="9.140625" style="5"/>
  </cols>
  <sheetData>
    <row r="1" spans="1:2" x14ac:dyDescent="0.25">
      <c r="A1" s="12" t="s">
        <v>6196</v>
      </c>
      <c r="B1" s="12"/>
    </row>
    <row r="2" spans="1:2" x14ac:dyDescent="0.25">
      <c r="A2" s="6" t="s">
        <v>6197</v>
      </c>
      <c r="B2" s="6" t="s">
        <v>6198</v>
      </c>
    </row>
    <row r="3" spans="1:2" x14ac:dyDescent="0.25">
      <c r="A3" s="7">
        <v>1</v>
      </c>
      <c r="B3" s="5" t="s">
        <v>6199</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TotalSales</vt:lpstr>
      <vt:lpstr>Country</vt:lpstr>
      <vt:lpstr>TopCustomers</vt:lpstr>
      <vt:lpstr>Dashboard</vt:lpstr>
      <vt:lpstr>orders</vt:lpstr>
      <vt:lpstr>customers</vt:lpstr>
      <vt:lpstr>products</vt:lpstr>
      <vt:lpstr>The Process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Chauncey Ragin</cp:lastModifiedBy>
  <cp:revision/>
  <dcterms:created xsi:type="dcterms:W3CDTF">2022-11-26T09:51:45Z</dcterms:created>
  <dcterms:modified xsi:type="dcterms:W3CDTF">2026-01-13T00:10:53Z</dcterms:modified>
  <cp:category/>
  <cp:contentStatus/>
</cp:coreProperties>
</file>